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c722e01b848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uración" sheetId="1" r:id="Rd45f9e55f0254622"/>
    <x:sheet xmlns:r="http://schemas.openxmlformats.org/officeDocument/2006/relationships" name="Ejemplo" sheetId="2" r:id="Rf9b315c68891455d"/>
    <x:sheet xmlns:r="http://schemas.openxmlformats.org/officeDocument/2006/relationships" name="Instrucciones" sheetId="3" r:id="Re230fc35204e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$#,##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21B6"/>
      <x:name val="Carlito"/>
    </x:font>
    <x:font>
      <x:b/>
      <x:sz val="11"/>
      <x:color rgb="FFFFFFFF"/>
      <x:name val="Carlito"/>
    </x:font>
    <x:font>
      <x:sz val="11"/>
      <x:color rgb="FF334155"/>
      <x:name val="Carlito"/>
    </x:font>
    <x:font>
      <x:sz val="11"/>
      <x:color rgb="FF1D4ED8"/>
      <x:name val="Carlito"/>
    </x:font>
    <x:font>
      <x:sz val="11"/>
      <x:color rgb="FF15803D"/>
      <x:name val="Carlito"/>
    </x:font>
    <x:font>
      <x:b/>
      <x:sz val="15"/>
      <x:color rgb="FFFFFFFF"/>
      <x:name val="Carlito"/>
    </x:font>
    <x:font>
      <x:b/>
      <x:sz val="11"/>
      <x:color rgb="FF15803D"/>
      <x:name val="Carlito"/>
    </x:font>
    <x:font>
      <x:i/>
      <x:sz val="11"/>
      <x:color rgb="FF15803D"/>
      <x:name val="Carlito"/>
    </x:font>
    <x:font>
      <x:b/>
      <x:sz val="11"/>
      <x:color rgb="FF5B21B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5B21B6"/>
      </x:patternFill>
    </x:fill>
    <x:fill>
      <x:patternFill patternType="solid">
        <x:fgColor rgb="FFF3E8FF"/>
      </x:patternFill>
    </x:fill>
    <x:fill>
      <x:patternFill patternType="solid">
        <x:fgColor rgb="FF7C3AED"/>
      </x:patternFill>
    </x:fill>
    <x:fill>
      <x:patternFill patternType="solid">
        <x:fgColor rgb="FFFFFFFF"/>
      </x:patternFill>
    </x:fill>
    <x:fill>
      <x:patternFill patternType="solid">
        <x:fgColor rgb="FFFAF5FF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  <x:fill>
      <x:patternFill patternType="solid">
        <x:fgColor rgb="FFDCFCE7"/>
      </x:patternFill>
    </x:fill>
  </x:fills>
  <x:borders count="13">
    <x:border/>
    <x:border>
      <x:left style="thin">
        <x:color rgb="FF5B21B6"/>
      </x:left>
      <x:top style="thin">
        <x:color rgb="FF5B21B6"/>
      </x:top>
      <x:bottom style="thin">
        <x:color rgb="FF5B21B6"/>
      </x:bottom>
    </x:border>
    <x:border>
      <x:top style="thin">
        <x:color rgb="FF5B21B6"/>
      </x:top>
      <x:bottom style="thin">
        <x:color rgb="FF5B21B6"/>
      </x:bottom>
    </x:border>
    <x:border>
      <x:right style="thin">
        <x:color rgb="FF5B21B6"/>
      </x:right>
      <x:top style="thin">
        <x:color rgb="FF5B21B6"/>
      </x:top>
      <x:bottom style="thin">
        <x:color rgb="FF5B21B6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5803D"/>
      </x:left>
      <x:right style="thin">
        <x:color rgb="FF15803D"/>
      </x:right>
      <x:top style="thin">
        <x:color rgb="FF15803D"/>
      </x:top>
      <x:bottom style="thin">
        <x:color rgb="FF15803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top style="thin">
        <x:color rgb="FFE2E8F0"/>
      </x:top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200" fontId="4" fillId="6" borderId="4" xfId="0" applyNumberFormat="1" applyFont="1" applyFill="1" applyBorder="1" applyAlignment="1">
      <x:alignment vertical="center"/>
    </x:xf>
    <x:xf numFmtId="200" fontId="4" fillId="6" borderId="5" xfId="0" applyNumberFormat="1" applyFont="1" applyFill="1" applyBorder="1" applyAlignment="1">
      <x:alignment vertical="center"/>
    </x:xf>
    <x:xf numFmtId="200" fontId="4" fillId="6" borderId="6" xfId="0" applyNumberFormat="1" applyFont="1" applyFill="1" applyBorder="1" applyAlignment="1">
      <x:alignment vertical="center"/>
    </x:xf>
    <x:xf numFmtId="201" fontId="4" fillId="6" borderId="4" xfId="0" applyNumberFormat="1" applyFont="1" applyFill="1" applyBorder="1" applyAlignment="1">
      <x:alignment vertical="center"/>
    </x:xf>
    <x:xf numFmtId="201" fontId="4" fillId="6" borderId="5" xfId="0" applyNumberFormat="1" applyFont="1" applyFill="1" applyBorder="1" applyAlignment="1">
      <x:alignment vertical="center"/>
    </x:xf>
    <x:xf numFmtId="201" fontId="4" fillId="6" borderId="6" xfId="0" applyNumberFormat="1" applyFont="1" applyFill="1" applyBorder="1" applyAlignment="1">
      <x:alignment vertical="center"/>
    </x:xf>
    <x:xf numFmtId="202" fontId="4" fillId="5" borderId="4" xfId="0" applyNumberFormat="1" applyFont="1" applyFill="1" applyBorder="1" applyAlignment="1">
      <x:alignment vertical="center"/>
    </x:xf>
    <x:xf numFmtId="202" fontId="4" fillId="5" borderId="5" xfId="0" applyNumberFormat="1" applyFont="1" applyFill="1" applyBorder="1" applyAlignment="1">
      <x:alignment vertical="center"/>
    </x:xf>
    <x:xf numFmtId="202" fontId="4" fillId="5" borderId="6" xfId="0" applyNumberFormat="1" applyFont="1" applyFill="1" applyBorder="1" applyAlignment="1">
      <x:alignment vertical="center"/>
    </x:xf>
    <x:xf numFmtId="202" fontId="5" fillId="5" borderId="4" xfId="0" applyNumberFormat="1" applyFont="1" applyFill="1" applyBorder="1" applyAlignment="1">
      <x:alignment vertical="center"/>
    </x:xf>
    <x:xf numFmtId="202" fontId="5" fillId="5" borderId="5" xfId="0" applyNumberFormat="1" applyFont="1" applyFill="1" applyBorder="1" applyAlignment="1">
      <x:alignment vertical="center"/>
    </x:xf>
    <x:xf numFmtId="202" fontId="5" fillId="5" borderId="6" xfId="0" applyNumberFormat="1" applyFont="1" applyFill="1" applyBorder="1" applyAlignment="1">
      <x:alignment vertical="center"/>
    </x:xf>
    <x:xf numFmtId="202" fontId="4" fillId="7" borderId="4" xfId="0" applyNumberFormat="1" applyFont="1" applyFill="1" applyBorder="1" applyAlignment="1">
      <x:alignment vertical="center"/>
    </x:xf>
    <x:xf numFmtId="202" fontId="4" fillId="7" borderId="5" xfId="0" applyNumberFormat="1" applyFont="1" applyFill="1" applyBorder="1" applyAlignment="1">
      <x:alignment vertical="center"/>
    </x:xf>
    <x:xf numFmtId="202" fontId="4" fillId="7" borderId="6" xfId="0" applyNumberFormat="1" applyFont="1" applyFill="1" applyBorder="1" applyAlignment="1">
      <x:alignment vertical="center"/>
    </x:xf>
    <x:xf numFmtId="202" fontId="6" fillId="7" borderId="4" xfId="0" applyNumberFormat="1" applyFont="1" applyFill="1" applyBorder="1" applyAlignment="1">
      <x:alignment vertical="center"/>
    </x:xf>
    <x:xf numFmtId="202" fontId="6" fillId="7" borderId="5" xfId="0" applyNumberFormat="1" applyFont="1" applyFill="1" applyBorder="1" applyAlignment="1">
      <x:alignment vertical="center"/>
    </x:xf>
    <x:xf numFmtId="202" fontId="6" fillId="7" borderId="6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2" fontId="0" fillId="0" borderId="7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8" xfId="0" applyNumberFormat="1" applyFont="1" applyFill="1" applyBorder="1"/>
    <x:xf numFmtId="202" fontId="8" fillId="9" borderId="8" xfId="0" applyNumberFormat="1" applyFont="1" applyFill="1" applyBorder="1"/>
    <x:xf numFmtId="0" fontId="9" fillId="9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 applyAlignment="1">
      <x:alignment vertical="center" wrapText="1"/>
    </x:xf>
    <x:xf numFmtId="0" fontId="0" fillId="3" borderId="11" xfId="0" applyNumberFormat="1" applyFont="1" applyFill="1" applyBorder="1" applyAlignment="1">
      <x:alignment vertical="center" wrapText="1"/>
    </x:xf>
    <x:xf numFmtId="0" fontId="10" fillId="3" borderId="9" xfId="0" applyNumberFormat="1" applyFont="1" applyFill="1" applyBorder="1" applyAlignment="1">
      <x:alignment vertical="center" wrapText="1"/>
    </x:xf>
    <x:xf numFmtId="0" fontId="10" fillId="3" borderId="10" xfId="0" applyNumberFormat="1" applyFont="1" applyFill="1" applyBorder="1" applyAlignment="1">
      <x:alignment vertical="center" wrapText="1"/>
    </x:xf>
    <x:xf numFmtId="0" fontId="10" fillId="3" borderId="11" xfId="0" applyNumberFormat="1" applyFont="1" applyFill="1" applyBorder="1" applyAlignment="1">
      <x:alignment vertical="center" wrapText="1"/>
    </x:xf>
    <x:xf numFmtId="0" fontId="10" fillId="3" borderId="9" xfId="0" applyNumberFormat="1" applyFont="1" applyFill="1" applyBorder="1" applyAlignment="1">
      <x:alignment horizontal="center" vertical="center" wrapText="1"/>
    </x:xf>
    <x:xf numFmtId="0" fontId="10" fillId="3" borderId="10" xfId="0" applyNumberFormat="1" applyFont="1" applyFill="1" applyBorder="1" applyAlignment="1">
      <x:alignment horizontal="center" vertical="center" wrapText="1"/>
    </x:xf>
    <x:xf numFmtId="0" fontId="10" fillId="3" borderId="11" xfId="0" applyNumberFormat="1" applyFont="1" applyFill="1" applyBorder="1" applyAlignment="1">
      <x:alignment horizontal="center" vertical="center" wrapText="1"/>
    </x:xf>
    <x:xf numFmtId="0" fontId="0" fillId="7" borderId="9" xfId="0" applyNumberFormat="1" applyFont="1" applyFill="1" applyBorder="1" applyAlignment="1">
      <x:alignment vertical="center" wrapText="1"/>
    </x:xf>
    <x:xf numFmtId="0" fontId="0" fillId="7" borderId="10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12" xfId="0" applyNumberFormat="1" applyFont="1" applyFill="1" applyBorder="1"/>
    <x:xf numFmtId="0" fontId="4" fillId="7" borderId="4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350f71c3a340da" /><Relationship Type="http://schemas.openxmlformats.org/officeDocument/2006/relationships/theme" Target="/xl/theme/theme1.xml" Id="R340044d86e2849c9" /><Relationship Type="http://schemas.openxmlformats.org/officeDocument/2006/relationships/sharedStrings" Target="/xl/sharedStrings.xml" Id="R1d4933f000d24b8a" /><Relationship Type="http://schemas.openxmlformats.org/officeDocument/2006/relationships/worksheet" Target="/xl/worksheets/sheet1.xml" Id="Rd45f9e55f0254622" /><Relationship Type="http://schemas.openxmlformats.org/officeDocument/2006/relationships/worksheet" Target="/xl/worksheets/sheet2.xml" Id="Rf9b315c68891455d" /><Relationship Type="http://schemas.openxmlformats.org/officeDocument/2006/relationships/worksheet" Target="/xl/worksheets/sheet3.xml" Id="Re230fc35204e42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7" hidden="0" customWidth="1"/>
    <x:col min="4" max="4" width="20" hidden="0" customWidth="1"/>
    <x:col min="5" max="5" width="20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3" t="str">
        <x:v>Plantilla de carga masiva · OC → Cierre → Factura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Complete una fila por factura. No cambie los nombres de las columnas; IVA y Total se calculan automáticamente.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8" t="str">
        <x:v>N° Factura</x:v>
      </x:c>
      <x:c r="B4" s="19" t="str">
        <x:v>N° Cotización</x:v>
      </x:c>
      <x:c r="C4" s="19" t="str">
        <x:v>Fecha emisión</x:v>
      </x:c>
      <x:c r="D4" s="19" t="str">
        <x:v>N° OC</x:v>
      </x:c>
      <x:c r="E4" s="19" t="str">
        <x:v>Fecha vencimiento</x:v>
      </x:c>
      <x:c r="F4" s="19" t="str">
        <x:v>Neto</x:v>
      </x:c>
      <x:c r="G4" s="19" t="str">
        <x:v>IVA</x:v>
      </x:c>
      <x:c r="H4" s="20" t="str">
        <x:v>Total</x:v>
      </x:c>
    </x:row>
    <x:row r="5" ht="22" customHeight="1">
      <x:c r="A5" s="32"/>
      <x:c r="B5" s="32"/>
      <x:c r="C5" s="35"/>
      <x:c r="D5" s="32"/>
      <x:c r="E5" s="35"/>
      <x:c r="F5" s="41"/>
      <x:c r="G5" s="47" t="str">
        <x:f>IF(F5="","",ROUND(F5*19%,0))</x:f>
      </x:c>
      <x:c r="H5" s="47" t="str">
        <x:f>IF(F5="","",F5+G5)</x:f>
      </x:c>
    </x:row>
    <x:row r="6" ht="22" customHeight="1">
      <x:c r="A6" s="33"/>
      <x:c r="B6" s="33"/>
      <x:c r="C6" s="36"/>
      <x:c r="D6" s="33"/>
      <x:c r="E6" s="36"/>
      <x:c r="F6" s="42"/>
      <x:c r="G6" s="48" t="str">
        <x:f>IF(F6="","",ROUND(F6*19%,0))</x:f>
      </x:c>
      <x:c r="H6" s="48" t="str">
        <x:f>IF(F6="","",F6+G6)</x:f>
      </x:c>
    </x:row>
    <x:row r="7" ht="22" customHeight="1">
      <x:c r="A7" s="33"/>
      <x:c r="B7" s="33"/>
      <x:c r="C7" s="36"/>
      <x:c r="D7" s="33"/>
      <x:c r="E7" s="36"/>
      <x:c r="F7" s="42"/>
      <x:c r="G7" s="48" t="str">
        <x:f>IF(F7="","",ROUND(F7*19%,0))</x:f>
      </x:c>
      <x:c r="H7" s="48" t="str">
        <x:f>IF(F7="","",F7+G7)</x:f>
      </x:c>
    </x:row>
    <x:row r="8" ht="22" customHeight="1">
      <x:c r="A8" s="33"/>
      <x:c r="B8" s="33"/>
      <x:c r="C8" s="36"/>
      <x:c r="D8" s="33"/>
      <x:c r="E8" s="36"/>
      <x:c r="F8" s="42"/>
      <x:c r="G8" s="48" t="str">
        <x:f>IF(F8="","",ROUND(F8*19%,0))</x:f>
      </x:c>
      <x:c r="H8" s="48" t="str">
        <x:f>IF(F8="","",F8+G8)</x:f>
      </x:c>
    </x:row>
    <x:row r="9" ht="22" customHeight="1">
      <x:c r="A9" s="33"/>
      <x:c r="B9" s="33"/>
      <x:c r="C9" s="36"/>
      <x:c r="D9" s="33"/>
      <x:c r="E9" s="36"/>
      <x:c r="F9" s="42"/>
      <x:c r="G9" s="48" t="str">
        <x:f>IF(F9="","",ROUND(F9*19%,0))</x:f>
      </x:c>
      <x:c r="H9" s="48" t="str">
        <x:f>IF(F9="","",F9+G9)</x:f>
      </x:c>
    </x:row>
    <x:row r="10" ht="22" customHeight="1">
      <x:c r="A10" s="33"/>
      <x:c r="B10" s="33"/>
      <x:c r="C10" s="36"/>
      <x:c r="D10" s="33"/>
      <x:c r="E10" s="36"/>
      <x:c r="F10" s="42"/>
      <x:c r="G10" s="48" t="str">
        <x:f>IF(F10="","",ROUND(F10*19%,0))</x:f>
      </x:c>
      <x:c r="H10" s="48" t="str">
        <x:f>IF(F10="","",F10+G10)</x:f>
      </x:c>
    </x:row>
    <x:row r="11" ht="22" customHeight="1">
      <x:c r="A11" s="33"/>
      <x:c r="B11" s="33"/>
      <x:c r="C11" s="36"/>
      <x:c r="D11" s="33"/>
      <x:c r="E11" s="36"/>
      <x:c r="F11" s="42"/>
      <x:c r="G11" s="48" t="str">
        <x:f>IF(F11="","",ROUND(F11*19%,0))</x:f>
      </x:c>
      <x:c r="H11" s="48" t="str">
        <x:f>IF(F11="","",F11+G11)</x:f>
      </x:c>
    </x:row>
    <x:row r="12" ht="22" customHeight="1">
      <x:c r="A12" s="33"/>
      <x:c r="B12" s="33"/>
      <x:c r="C12" s="36"/>
      <x:c r="D12" s="33"/>
      <x:c r="E12" s="36"/>
      <x:c r="F12" s="42"/>
      <x:c r="G12" s="48" t="str">
        <x:f>IF(F12="","",ROUND(F12*19%,0))</x:f>
      </x:c>
      <x:c r="H12" s="48" t="str">
        <x:f>IF(F12="","",F12+G12)</x:f>
      </x:c>
    </x:row>
    <x:row r="13" ht="22" customHeight="1">
      <x:c r="A13" s="33"/>
      <x:c r="B13" s="33"/>
      <x:c r="C13" s="36"/>
      <x:c r="D13" s="33"/>
      <x:c r="E13" s="36"/>
      <x:c r="F13" s="42"/>
      <x:c r="G13" s="48" t="str">
        <x:f>IF(F13="","",ROUND(F13*19%,0))</x:f>
      </x:c>
      <x:c r="H13" s="48" t="str">
        <x:f>IF(F13="","",F13+G13)</x:f>
      </x:c>
    </x:row>
    <x:row r="14" ht="22" customHeight="1">
      <x:c r="A14" s="33"/>
      <x:c r="B14" s="33"/>
      <x:c r="C14" s="36"/>
      <x:c r="D14" s="33"/>
      <x:c r="E14" s="36"/>
      <x:c r="F14" s="42"/>
      <x:c r="G14" s="48" t="str">
        <x:f>IF(F14="","",ROUND(F14*19%,0))</x:f>
      </x:c>
      <x:c r="H14" s="48" t="str">
        <x:f>IF(F14="","",F14+G14)</x:f>
      </x:c>
    </x:row>
    <x:row r="15" ht="22" customHeight="1">
      <x:c r="A15" s="33"/>
      <x:c r="B15" s="33"/>
      <x:c r="C15" s="36"/>
      <x:c r="D15" s="33"/>
      <x:c r="E15" s="36"/>
      <x:c r="F15" s="42"/>
      <x:c r="G15" s="48" t="str">
        <x:f>IF(F15="","",ROUND(F15*19%,0))</x:f>
      </x:c>
      <x:c r="H15" s="48" t="str">
        <x:f>IF(F15="","",F15+G15)</x:f>
      </x:c>
    </x:row>
    <x:row r="16" ht="22" customHeight="1">
      <x:c r="A16" s="33"/>
      <x:c r="B16" s="33"/>
      <x:c r="C16" s="36"/>
      <x:c r="D16" s="33"/>
      <x:c r="E16" s="36"/>
      <x:c r="F16" s="42"/>
      <x:c r="G16" s="48" t="str">
        <x:f>IF(F16="","",ROUND(F16*19%,0))</x:f>
      </x:c>
      <x:c r="H16" s="48" t="str">
        <x:f>IF(F16="","",F16+G16)</x:f>
      </x:c>
    </x:row>
    <x:row r="17" ht="22" customHeight="1">
      <x:c r="A17" s="33"/>
      <x:c r="B17" s="33"/>
      <x:c r="C17" s="36"/>
      <x:c r="D17" s="33"/>
      <x:c r="E17" s="36"/>
      <x:c r="F17" s="42"/>
      <x:c r="G17" s="48" t="str">
        <x:f>IF(F17="","",ROUND(F17*19%,0))</x:f>
      </x:c>
      <x:c r="H17" s="48" t="str">
        <x:f>IF(F17="","",F17+G17)</x:f>
      </x:c>
    </x:row>
    <x:row r="18" ht="22" customHeight="1">
      <x:c r="A18" s="33"/>
      <x:c r="B18" s="33"/>
      <x:c r="C18" s="36"/>
      <x:c r="D18" s="33"/>
      <x:c r="E18" s="36"/>
      <x:c r="F18" s="42"/>
      <x:c r="G18" s="48" t="str">
        <x:f>IF(F18="","",ROUND(F18*19%,0))</x:f>
      </x:c>
      <x:c r="H18" s="48" t="str">
        <x:f>IF(F18="","",F18+G18)</x:f>
      </x:c>
    </x:row>
    <x:row r="19" ht="22" customHeight="1">
      <x:c r="A19" s="33"/>
      <x:c r="B19" s="33"/>
      <x:c r="C19" s="36"/>
      <x:c r="D19" s="33"/>
      <x:c r="E19" s="36"/>
      <x:c r="F19" s="42"/>
      <x:c r="G19" s="48" t="str">
        <x:f>IF(F19="","",ROUND(F19*19%,0))</x:f>
      </x:c>
      <x:c r="H19" s="48" t="str">
        <x:f>IF(F19="","",F19+G19)</x:f>
      </x:c>
    </x:row>
    <x:row r="20" ht="22" customHeight="1">
      <x:c r="A20" s="33"/>
      <x:c r="B20" s="33"/>
      <x:c r="C20" s="36"/>
      <x:c r="D20" s="33"/>
      <x:c r="E20" s="36"/>
      <x:c r="F20" s="42"/>
      <x:c r="G20" s="48" t="str">
        <x:f>IF(F20="","",ROUND(F20*19%,0))</x:f>
      </x:c>
      <x:c r="H20" s="48" t="str">
        <x:f>IF(F20="","",F20+G20)</x:f>
      </x:c>
    </x:row>
    <x:row r="21" ht="22" customHeight="1">
      <x:c r="A21" s="33"/>
      <x:c r="B21" s="33"/>
      <x:c r="C21" s="36"/>
      <x:c r="D21" s="33"/>
      <x:c r="E21" s="36"/>
      <x:c r="F21" s="42"/>
      <x:c r="G21" s="48" t="str">
        <x:f>IF(F21="","",ROUND(F21*19%,0))</x:f>
      </x:c>
      <x:c r="H21" s="48" t="str">
        <x:f>IF(F21="","",F21+G21)</x:f>
      </x:c>
    </x:row>
    <x:row r="22" ht="22" customHeight="1">
      <x:c r="A22" s="33"/>
      <x:c r="B22" s="33"/>
      <x:c r="C22" s="36"/>
      <x:c r="D22" s="33"/>
      <x:c r="E22" s="36"/>
      <x:c r="F22" s="42"/>
      <x:c r="G22" s="48" t="str">
        <x:f>IF(F22="","",ROUND(F22*19%,0))</x:f>
      </x:c>
      <x:c r="H22" s="48" t="str">
        <x:f>IF(F22="","",F22+G22)</x:f>
      </x:c>
    </x:row>
    <x:row r="23" ht="22" customHeight="1">
      <x:c r="A23" s="33"/>
      <x:c r="B23" s="33"/>
      <x:c r="C23" s="36"/>
      <x:c r="D23" s="33"/>
      <x:c r="E23" s="36"/>
      <x:c r="F23" s="42"/>
      <x:c r="G23" s="48" t="str">
        <x:f>IF(F23="","",ROUND(F23*19%,0))</x:f>
      </x:c>
      <x:c r="H23" s="48" t="str">
        <x:f>IF(F23="","",F23+G23)</x:f>
      </x:c>
    </x:row>
    <x:row r="24" ht="22" customHeight="1">
      <x:c r="A24" s="33"/>
      <x:c r="B24" s="33"/>
      <x:c r="C24" s="36"/>
      <x:c r="D24" s="33"/>
      <x:c r="E24" s="36"/>
      <x:c r="F24" s="42"/>
      <x:c r="G24" s="48" t="str">
        <x:f>IF(F24="","",ROUND(F24*19%,0))</x:f>
      </x:c>
      <x:c r="H24" s="48" t="str">
        <x:f>IF(F24="","",F24+G24)</x:f>
      </x:c>
    </x:row>
    <x:row r="25" ht="22" customHeight="1">
      <x:c r="A25" s="33"/>
      <x:c r="B25" s="33"/>
      <x:c r="C25" s="36"/>
      <x:c r="D25" s="33"/>
      <x:c r="E25" s="36"/>
      <x:c r="F25" s="42"/>
      <x:c r="G25" s="48" t="str">
        <x:f>IF(F25="","",ROUND(F25*19%,0))</x:f>
      </x:c>
      <x:c r="H25" s="48" t="str">
        <x:f>IF(F25="","",F25+G25)</x:f>
      </x:c>
    </x:row>
    <x:row r="26" ht="22" customHeight="1">
      <x:c r="A26" s="33"/>
      <x:c r="B26" s="33"/>
      <x:c r="C26" s="36"/>
      <x:c r="D26" s="33"/>
      <x:c r="E26" s="36"/>
      <x:c r="F26" s="42"/>
      <x:c r="G26" s="48" t="str">
        <x:f>IF(F26="","",ROUND(F26*19%,0))</x:f>
      </x:c>
      <x:c r="H26" s="48" t="str">
        <x:f>IF(F26="","",F26+G26)</x:f>
      </x:c>
    </x:row>
    <x:row r="27" ht="22" customHeight="1">
      <x:c r="A27" s="33"/>
      <x:c r="B27" s="33"/>
      <x:c r="C27" s="36"/>
      <x:c r="D27" s="33"/>
      <x:c r="E27" s="36"/>
      <x:c r="F27" s="42"/>
      <x:c r="G27" s="48" t="str">
        <x:f>IF(F27="","",ROUND(F27*19%,0))</x:f>
      </x:c>
      <x:c r="H27" s="48" t="str">
        <x:f>IF(F27="","",F27+G27)</x:f>
      </x:c>
    </x:row>
    <x:row r="28" ht="22" customHeight="1">
      <x:c r="A28" s="33"/>
      <x:c r="B28" s="33"/>
      <x:c r="C28" s="36"/>
      <x:c r="D28" s="33"/>
      <x:c r="E28" s="36"/>
      <x:c r="F28" s="42"/>
      <x:c r="G28" s="48" t="str">
        <x:f>IF(F28="","",ROUND(F28*19%,0))</x:f>
      </x:c>
      <x:c r="H28" s="48" t="str">
        <x:f>IF(F28="","",F28+G28)</x:f>
      </x:c>
    </x:row>
    <x:row r="29" ht="22" customHeight="1">
      <x:c r="A29" s="33"/>
      <x:c r="B29" s="33"/>
      <x:c r="C29" s="36"/>
      <x:c r="D29" s="33"/>
      <x:c r="E29" s="36"/>
      <x:c r="F29" s="42"/>
      <x:c r="G29" s="48" t="str">
        <x:f>IF(F29="","",ROUND(F29*19%,0))</x:f>
      </x:c>
      <x:c r="H29" s="48" t="str">
        <x:f>IF(F29="","",F29+G29)</x:f>
      </x:c>
    </x:row>
    <x:row r="30" ht="22" customHeight="1">
      <x:c r="A30" s="33"/>
      <x:c r="B30" s="33"/>
      <x:c r="C30" s="36"/>
      <x:c r="D30" s="33"/>
      <x:c r="E30" s="36"/>
      <x:c r="F30" s="42"/>
      <x:c r="G30" s="48" t="str">
        <x:f>IF(F30="","",ROUND(F30*19%,0))</x:f>
      </x:c>
      <x:c r="H30" s="48" t="str">
        <x:f>IF(F30="","",F30+G30)</x:f>
      </x:c>
    </x:row>
    <x:row r="31" ht="22" customHeight="1">
      <x:c r="A31" s="33"/>
      <x:c r="B31" s="33"/>
      <x:c r="C31" s="36"/>
      <x:c r="D31" s="33"/>
      <x:c r="E31" s="36"/>
      <x:c r="F31" s="42"/>
      <x:c r="G31" s="48" t="str">
        <x:f>IF(F31="","",ROUND(F31*19%,0))</x:f>
      </x:c>
      <x:c r="H31" s="48" t="str">
        <x:f>IF(F31="","",F31+G31)</x:f>
      </x:c>
    </x:row>
    <x:row r="32" ht="22" customHeight="1">
      <x:c r="A32" s="33"/>
      <x:c r="B32" s="33"/>
      <x:c r="C32" s="36"/>
      <x:c r="D32" s="33"/>
      <x:c r="E32" s="36"/>
      <x:c r="F32" s="42"/>
      <x:c r="G32" s="48" t="str">
        <x:f>IF(F32="","",ROUND(F32*19%,0))</x:f>
      </x:c>
      <x:c r="H32" s="48" t="str">
        <x:f>IF(F32="","",F32+G32)</x:f>
      </x:c>
    </x:row>
    <x:row r="33" ht="22" customHeight="1">
      <x:c r="A33" s="33"/>
      <x:c r="B33" s="33"/>
      <x:c r="C33" s="36"/>
      <x:c r="D33" s="33"/>
      <x:c r="E33" s="36"/>
      <x:c r="F33" s="42"/>
      <x:c r="G33" s="48" t="str">
        <x:f>IF(F33="","",ROUND(F33*19%,0))</x:f>
      </x:c>
      <x:c r="H33" s="48" t="str">
        <x:f>IF(F33="","",F33+G33)</x:f>
      </x:c>
    </x:row>
    <x:row r="34" ht="22" customHeight="1">
      <x:c r="A34" s="33"/>
      <x:c r="B34" s="33"/>
      <x:c r="C34" s="36"/>
      <x:c r="D34" s="33"/>
      <x:c r="E34" s="36"/>
      <x:c r="F34" s="42"/>
      <x:c r="G34" s="48" t="str">
        <x:f>IF(F34="","",ROUND(F34*19%,0))</x:f>
      </x:c>
      <x:c r="H34" s="48" t="str">
        <x:f>IF(F34="","",F34+G34)</x:f>
      </x:c>
    </x:row>
    <x:row r="35" ht="22" customHeight="1">
      <x:c r="A35" s="33"/>
      <x:c r="B35" s="33"/>
      <x:c r="C35" s="36"/>
      <x:c r="D35" s="33"/>
      <x:c r="E35" s="36"/>
      <x:c r="F35" s="42"/>
      <x:c r="G35" s="48" t="str">
        <x:f>IF(F35="","",ROUND(F35*19%,0))</x:f>
      </x:c>
      <x:c r="H35" s="48" t="str">
        <x:f>IF(F35="","",F35+G35)</x:f>
      </x:c>
    </x:row>
    <x:row r="36" ht="22" customHeight="1">
      <x:c r="A36" s="33"/>
      <x:c r="B36" s="33"/>
      <x:c r="C36" s="36"/>
      <x:c r="D36" s="33"/>
      <x:c r="E36" s="36"/>
      <x:c r="F36" s="42"/>
      <x:c r="G36" s="48" t="str">
        <x:f>IF(F36="","",ROUND(F36*19%,0))</x:f>
      </x:c>
      <x:c r="H36" s="48" t="str">
        <x:f>IF(F36="","",F36+G36)</x:f>
      </x:c>
    </x:row>
    <x:row r="37" ht="22" customHeight="1">
      <x:c r="A37" s="33"/>
      <x:c r="B37" s="33"/>
      <x:c r="C37" s="36"/>
      <x:c r="D37" s="33"/>
      <x:c r="E37" s="36"/>
      <x:c r="F37" s="42"/>
      <x:c r="G37" s="48" t="str">
        <x:f>IF(F37="","",ROUND(F37*19%,0))</x:f>
      </x:c>
      <x:c r="H37" s="48" t="str">
        <x:f>IF(F37="","",F37+G37)</x:f>
      </x:c>
    </x:row>
    <x:row r="38" ht="22" customHeight="1">
      <x:c r="A38" s="33"/>
      <x:c r="B38" s="33"/>
      <x:c r="C38" s="36"/>
      <x:c r="D38" s="33"/>
      <x:c r="E38" s="36"/>
      <x:c r="F38" s="42"/>
      <x:c r="G38" s="48" t="str">
        <x:f>IF(F38="","",ROUND(F38*19%,0))</x:f>
      </x:c>
      <x:c r="H38" s="48" t="str">
        <x:f>IF(F38="","",F38+G38)</x:f>
      </x:c>
    </x:row>
    <x:row r="39" ht="22" customHeight="1">
      <x:c r="A39" s="33"/>
      <x:c r="B39" s="33"/>
      <x:c r="C39" s="36"/>
      <x:c r="D39" s="33"/>
      <x:c r="E39" s="36"/>
      <x:c r="F39" s="42"/>
      <x:c r="G39" s="48" t="str">
        <x:f>IF(F39="","",ROUND(F39*19%,0))</x:f>
      </x:c>
      <x:c r="H39" s="48" t="str">
        <x:f>IF(F39="","",F39+G39)</x:f>
      </x:c>
    </x:row>
    <x:row r="40" ht="22" customHeight="1">
      <x:c r="A40" s="33"/>
      <x:c r="B40" s="33"/>
      <x:c r="C40" s="36"/>
      <x:c r="D40" s="33"/>
      <x:c r="E40" s="36"/>
      <x:c r="F40" s="42"/>
      <x:c r="G40" s="48" t="str">
        <x:f>IF(F40="","",ROUND(F40*19%,0))</x:f>
      </x:c>
      <x:c r="H40" s="48" t="str">
        <x:f>IF(F40="","",F40+G40)</x:f>
      </x:c>
    </x:row>
    <x:row r="41" ht="22" customHeight="1">
      <x:c r="A41" s="33"/>
      <x:c r="B41" s="33"/>
      <x:c r="C41" s="36"/>
      <x:c r="D41" s="33"/>
      <x:c r="E41" s="36"/>
      <x:c r="F41" s="42"/>
      <x:c r="G41" s="48" t="str">
        <x:f>IF(F41="","",ROUND(F41*19%,0))</x:f>
      </x:c>
      <x:c r="H41" s="48" t="str">
        <x:f>IF(F41="","",F41+G41)</x:f>
      </x:c>
    </x:row>
    <x:row r="42" ht="22" customHeight="1">
      <x:c r="A42" s="33"/>
      <x:c r="B42" s="33"/>
      <x:c r="C42" s="36"/>
      <x:c r="D42" s="33"/>
      <x:c r="E42" s="36"/>
      <x:c r="F42" s="42"/>
      <x:c r="G42" s="48" t="str">
        <x:f>IF(F42="","",ROUND(F42*19%,0))</x:f>
      </x:c>
      <x:c r="H42" s="48" t="str">
        <x:f>IF(F42="","",F42+G42)</x:f>
      </x:c>
    </x:row>
    <x:row r="43" ht="22" customHeight="1">
      <x:c r="A43" s="33"/>
      <x:c r="B43" s="33"/>
      <x:c r="C43" s="36"/>
      <x:c r="D43" s="33"/>
      <x:c r="E43" s="36"/>
      <x:c r="F43" s="42"/>
      <x:c r="G43" s="48" t="str">
        <x:f>IF(F43="","",ROUND(F43*19%,0))</x:f>
      </x:c>
      <x:c r="H43" s="48" t="str">
        <x:f>IF(F43="","",F43+G43)</x:f>
      </x:c>
    </x:row>
    <x:row r="44" ht="22" customHeight="1">
      <x:c r="A44" s="33"/>
      <x:c r="B44" s="33"/>
      <x:c r="C44" s="36"/>
      <x:c r="D44" s="33"/>
      <x:c r="E44" s="36"/>
      <x:c r="F44" s="42"/>
      <x:c r="G44" s="48" t="str">
        <x:f>IF(F44="","",ROUND(F44*19%,0))</x:f>
      </x:c>
      <x:c r="H44" s="48" t="str">
        <x:f>IF(F44="","",F44+G44)</x:f>
      </x:c>
    </x:row>
    <x:row r="45" ht="22" customHeight="1">
      <x:c r="A45" s="33"/>
      <x:c r="B45" s="33"/>
      <x:c r="C45" s="36"/>
      <x:c r="D45" s="33"/>
      <x:c r="E45" s="36"/>
      <x:c r="F45" s="42"/>
      <x:c r="G45" s="48" t="str">
        <x:f>IF(F45="","",ROUND(F45*19%,0))</x:f>
      </x:c>
      <x:c r="H45" s="48" t="str">
        <x:f>IF(F45="","",F45+G45)</x:f>
      </x:c>
    </x:row>
    <x:row r="46" ht="22" customHeight="1">
      <x:c r="A46" s="33"/>
      <x:c r="B46" s="33"/>
      <x:c r="C46" s="36"/>
      <x:c r="D46" s="33"/>
      <x:c r="E46" s="36"/>
      <x:c r="F46" s="42"/>
      <x:c r="G46" s="48" t="str">
        <x:f>IF(F46="","",ROUND(F46*19%,0))</x:f>
      </x:c>
      <x:c r="H46" s="48" t="str">
        <x:f>IF(F46="","",F46+G46)</x:f>
      </x:c>
    </x:row>
    <x:row r="47" ht="22" customHeight="1">
      <x:c r="A47" s="33"/>
      <x:c r="B47" s="33"/>
      <x:c r="C47" s="36"/>
      <x:c r="D47" s="33"/>
      <x:c r="E47" s="36"/>
      <x:c r="F47" s="42"/>
      <x:c r="G47" s="48" t="str">
        <x:f>IF(F47="","",ROUND(F47*19%,0))</x:f>
      </x:c>
      <x:c r="H47" s="48" t="str">
        <x:f>IF(F47="","",F47+G47)</x:f>
      </x:c>
    </x:row>
    <x:row r="48" ht="22" customHeight="1">
      <x:c r="A48" s="33"/>
      <x:c r="B48" s="33"/>
      <x:c r="C48" s="36"/>
      <x:c r="D48" s="33"/>
      <x:c r="E48" s="36"/>
      <x:c r="F48" s="42"/>
      <x:c r="G48" s="48" t="str">
        <x:f>IF(F48="","",ROUND(F48*19%,0))</x:f>
      </x:c>
      <x:c r="H48" s="48" t="str">
        <x:f>IF(F48="","",F48+G48)</x:f>
      </x:c>
    </x:row>
    <x:row r="49" ht="22" customHeight="1">
      <x:c r="A49" s="33"/>
      <x:c r="B49" s="33"/>
      <x:c r="C49" s="36"/>
      <x:c r="D49" s="33"/>
      <x:c r="E49" s="36"/>
      <x:c r="F49" s="42"/>
      <x:c r="G49" s="48" t="str">
        <x:f>IF(F49="","",ROUND(F49*19%,0))</x:f>
      </x:c>
      <x:c r="H49" s="48" t="str">
        <x:f>IF(F49="","",F49+G49)</x:f>
      </x:c>
    </x:row>
    <x:row r="50" ht="22" customHeight="1">
      <x:c r="A50" s="33"/>
      <x:c r="B50" s="33"/>
      <x:c r="C50" s="36"/>
      <x:c r="D50" s="33"/>
      <x:c r="E50" s="36"/>
      <x:c r="F50" s="42"/>
      <x:c r="G50" s="48" t="str">
        <x:f>IF(F50="","",ROUND(F50*19%,0))</x:f>
      </x:c>
      <x:c r="H50" s="48" t="str">
        <x:f>IF(F50="","",F50+G50)</x:f>
      </x:c>
    </x:row>
    <x:row r="51" ht="22" customHeight="1">
      <x:c r="A51" s="33"/>
      <x:c r="B51" s="33"/>
      <x:c r="C51" s="36"/>
      <x:c r="D51" s="33"/>
      <x:c r="E51" s="36"/>
      <x:c r="F51" s="42"/>
      <x:c r="G51" s="48" t="str">
        <x:f>IF(F51="","",ROUND(F51*19%,0))</x:f>
      </x:c>
      <x:c r="H51" s="48" t="str">
        <x:f>IF(F51="","",F51+G51)</x:f>
      </x:c>
    </x:row>
    <x:row r="52" ht="22" customHeight="1">
      <x:c r="A52" s="33"/>
      <x:c r="B52" s="33"/>
      <x:c r="C52" s="36"/>
      <x:c r="D52" s="33"/>
      <x:c r="E52" s="36"/>
      <x:c r="F52" s="42"/>
      <x:c r="G52" s="48" t="str">
        <x:f>IF(F52="","",ROUND(F52*19%,0))</x:f>
      </x:c>
      <x:c r="H52" s="48" t="str">
        <x:f>IF(F52="","",F52+G52)</x:f>
      </x:c>
    </x:row>
    <x:row r="53" ht="22" customHeight="1">
      <x:c r="A53" s="33"/>
      <x:c r="B53" s="33"/>
      <x:c r="C53" s="36"/>
      <x:c r="D53" s="33"/>
      <x:c r="E53" s="36"/>
      <x:c r="F53" s="42"/>
      <x:c r="G53" s="48" t="str">
        <x:f>IF(F53="","",ROUND(F53*19%,0))</x:f>
      </x:c>
      <x:c r="H53" s="48" t="str">
        <x:f>IF(F53="","",F53+G53)</x:f>
      </x:c>
    </x:row>
    <x:row r="54" ht="22" customHeight="1">
      <x:c r="A54" s="33"/>
      <x:c r="B54" s="33"/>
      <x:c r="C54" s="36"/>
      <x:c r="D54" s="33"/>
      <x:c r="E54" s="36"/>
      <x:c r="F54" s="42"/>
      <x:c r="G54" s="48" t="str">
        <x:f>IF(F54="","",ROUND(F54*19%,0))</x:f>
      </x:c>
      <x:c r="H54" s="48" t="str">
        <x:f>IF(F54="","",F54+G54)</x:f>
      </x:c>
    </x:row>
    <x:row r="55" ht="22" customHeight="1">
      <x:c r="A55" s="33"/>
      <x:c r="B55" s="33"/>
      <x:c r="C55" s="36"/>
      <x:c r="D55" s="33"/>
      <x:c r="E55" s="36"/>
      <x:c r="F55" s="42"/>
      <x:c r="G55" s="48" t="str">
        <x:f>IF(F55="","",ROUND(F55*19%,0))</x:f>
      </x:c>
      <x:c r="H55" s="48" t="str">
        <x:f>IF(F55="","",F55+G55)</x:f>
      </x:c>
    </x:row>
    <x:row r="56" ht="22" customHeight="1">
      <x:c r="A56" s="33"/>
      <x:c r="B56" s="33"/>
      <x:c r="C56" s="36"/>
      <x:c r="D56" s="33"/>
      <x:c r="E56" s="36"/>
      <x:c r="F56" s="42"/>
      <x:c r="G56" s="48" t="str">
        <x:f>IF(F56="","",ROUND(F56*19%,0))</x:f>
      </x:c>
      <x:c r="H56" s="48" t="str">
        <x:f>IF(F56="","",F56+G56)</x:f>
      </x:c>
    </x:row>
    <x:row r="57" ht="22" customHeight="1">
      <x:c r="A57" s="33"/>
      <x:c r="B57" s="33"/>
      <x:c r="C57" s="36"/>
      <x:c r="D57" s="33"/>
      <x:c r="E57" s="36"/>
      <x:c r="F57" s="42"/>
      <x:c r="G57" s="48" t="str">
        <x:f>IF(F57="","",ROUND(F57*19%,0))</x:f>
      </x:c>
      <x:c r="H57" s="48" t="str">
        <x:f>IF(F57="","",F57+G57)</x:f>
      </x:c>
    </x:row>
    <x:row r="58" ht="22" customHeight="1">
      <x:c r="A58" s="33"/>
      <x:c r="B58" s="33"/>
      <x:c r="C58" s="36"/>
      <x:c r="D58" s="33"/>
      <x:c r="E58" s="36"/>
      <x:c r="F58" s="42"/>
      <x:c r="G58" s="48" t="str">
        <x:f>IF(F58="","",ROUND(F58*19%,0))</x:f>
      </x:c>
      <x:c r="H58" s="48" t="str">
        <x:f>IF(F58="","",F58+G58)</x:f>
      </x:c>
    </x:row>
    <x:row r="59" ht="22" customHeight="1">
      <x:c r="A59" s="33"/>
      <x:c r="B59" s="33"/>
      <x:c r="C59" s="36"/>
      <x:c r="D59" s="33"/>
      <x:c r="E59" s="36"/>
      <x:c r="F59" s="42"/>
      <x:c r="G59" s="48" t="str">
        <x:f>IF(F59="","",ROUND(F59*19%,0))</x:f>
      </x:c>
      <x:c r="H59" s="48" t="str">
        <x:f>IF(F59="","",F59+G59)</x:f>
      </x:c>
    </x:row>
    <x:row r="60" ht="22" customHeight="1">
      <x:c r="A60" s="33"/>
      <x:c r="B60" s="33"/>
      <x:c r="C60" s="36"/>
      <x:c r="D60" s="33"/>
      <x:c r="E60" s="36"/>
      <x:c r="F60" s="42"/>
      <x:c r="G60" s="48" t="str">
        <x:f>IF(F60="","",ROUND(F60*19%,0))</x:f>
      </x:c>
      <x:c r="H60" s="48" t="str">
        <x:f>IF(F60="","",F60+G60)</x:f>
      </x:c>
    </x:row>
    <x:row r="61" ht="22" customHeight="1">
      <x:c r="A61" s="33"/>
      <x:c r="B61" s="33"/>
      <x:c r="C61" s="36"/>
      <x:c r="D61" s="33"/>
      <x:c r="E61" s="36"/>
      <x:c r="F61" s="42"/>
      <x:c r="G61" s="48" t="str">
        <x:f>IF(F61="","",ROUND(F61*19%,0))</x:f>
      </x:c>
      <x:c r="H61" s="48" t="str">
        <x:f>IF(F61="","",F61+G61)</x:f>
      </x:c>
    </x:row>
    <x:row r="62" ht="22" customHeight="1">
      <x:c r="A62" s="33"/>
      <x:c r="B62" s="33"/>
      <x:c r="C62" s="36"/>
      <x:c r="D62" s="33"/>
      <x:c r="E62" s="36"/>
      <x:c r="F62" s="42"/>
      <x:c r="G62" s="48" t="str">
        <x:f>IF(F62="","",ROUND(F62*19%,0))</x:f>
      </x:c>
      <x:c r="H62" s="48" t="str">
        <x:f>IF(F62="","",F62+G62)</x:f>
      </x:c>
    </x:row>
    <x:row r="63" ht="22" customHeight="1">
      <x:c r="A63" s="33"/>
      <x:c r="B63" s="33"/>
      <x:c r="C63" s="36"/>
      <x:c r="D63" s="33"/>
      <x:c r="E63" s="36"/>
      <x:c r="F63" s="42"/>
      <x:c r="G63" s="48" t="str">
        <x:f>IF(F63="","",ROUND(F63*19%,0))</x:f>
      </x:c>
      <x:c r="H63" s="48" t="str">
        <x:f>IF(F63="","",F63+G63)</x:f>
      </x:c>
    </x:row>
    <x:row r="64" ht="22" customHeight="1">
      <x:c r="A64" s="33"/>
      <x:c r="B64" s="33"/>
      <x:c r="C64" s="36"/>
      <x:c r="D64" s="33"/>
      <x:c r="E64" s="36"/>
      <x:c r="F64" s="42"/>
      <x:c r="G64" s="48" t="str">
        <x:f>IF(F64="","",ROUND(F64*19%,0))</x:f>
      </x:c>
      <x:c r="H64" s="48" t="str">
        <x:f>IF(F64="","",F64+G64)</x:f>
      </x:c>
    </x:row>
    <x:row r="65" ht="22" customHeight="1">
      <x:c r="A65" s="33"/>
      <x:c r="B65" s="33"/>
      <x:c r="C65" s="36"/>
      <x:c r="D65" s="33"/>
      <x:c r="E65" s="36"/>
      <x:c r="F65" s="42"/>
      <x:c r="G65" s="48" t="str">
        <x:f>IF(F65="","",ROUND(F65*19%,0))</x:f>
      </x:c>
      <x:c r="H65" s="48" t="str">
        <x:f>IF(F65="","",F65+G65)</x:f>
      </x:c>
    </x:row>
    <x:row r="66" ht="22" customHeight="1">
      <x:c r="A66" s="33"/>
      <x:c r="B66" s="33"/>
      <x:c r="C66" s="36"/>
      <x:c r="D66" s="33"/>
      <x:c r="E66" s="36"/>
      <x:c r="F66" s="42"/>
      <x:c r="G66" s="48" t="str">
        <x:f>IF(F66="","",ROUND(F66*19%,0))</x:f>
      </x:c>
      <x:c r="H66" s="48" t="str">
        <x:f>IF(F66="","",F66+G66)</x:f>
      </x:c>
    </x:row>
    <x:row r="67" ht="22" customHeight="1">
      <x:c r="A67" s="33"/>
      <x:c r="B67" s="33"/>
      <x:c r="C67" s="36"/>
      <x:c r="D67" s="33"/>
      <x:c r="E67" s="36"/>
      <x:c r="F67" s="42"/>
      <x:c r="G67" s="48" t="str">
        <x:f>IF(F67="","",ROUND(F67*19%,0))</x:f>
      </x:c>
      <x:c r="H67" s="48" t="str">
        <x:f>IF(F67="","",F67+G67)</x:f>
      </x:c>
    </x:row>
    <x:row r="68" ht="22" customHeight="1">
      <x:c r="A68" s="33"/>
      <x:c r="B68" s="33"/>
      <x:c r="C68" s="36"/>
      <x:c r="D68" s="33"/>
      <x:c r="E68" s="36"/>
      <x:c r="F68" s="42"/>
      <x:c r="G68" s="48" t="str">
        <x:f>IF(F68="","",ROUND(F68*19%,0))</x:f>
      </x:c>
      <x:c r="H68" s="48" t="str">
        <x:f>IF(F68="","",F68+G68)</x:f>
      </x:c>
    </x:row>
    <x:row r="69" ht="22" customHeight="1">
      <x:c r="A69" s="33"/>
      <x:c r="B69" s="33"/>
      <x:c r="C69" s="36"/>
      <x:c r="D69" s="33"/>
      <x:c r="E69" s="36"/>
      <x:c r="F69" s="42"/>
      <x:c r="G69" s="48" t="str">
        <x:f>IF(F69="","",ROUND(F69*19%,0))</x:f>
      </x:c>
      <x:c r="H69" s="48" t="str">
        <x:f>IF(F69="","",F69+G69)</x:f>
      </x:c>
    </x:row>
    <x:row r="70" ht="22" customHeight="1">
      <x:c r="A70" s="33"/>
      <x:c r="B70" s="33"/>
      <x:c r="C70" s="36"/>
      <x:c r="D70" s="33"/>
      <x:c r="E70" s="36"/>
      <x:c r="F70" s="42"/>
      <x:c r="G70" s="48" t="str">
        <x:f>IF(F70="","",ROUND(F70*19%,0))</x:f>
      </x:c>
      <x:c r="H70" s="48" t="str">
        <x:f>IF(F70="","",F70+G70)</x:f>
      </x:c>
    </x:row>
    <x:row r="71" ht="22" customHeight="1">
      <x:c r="A71" s="33"/>
      <x:c r="B71" s="33"/>
      <x:c r="C71" s="36"/>
      <x:c r="D71" s="33"/>
      <x:c r="E71" s="36"/>
      <x:c r="F71" s="42"/>
      <x:c r="G71" s="48" t="str">
        <x:f>IF(F71="","",ROUND(F71*19%,0))</x:f>
      </x:c>
      <x:c r="H71" s="48" t="str">
        <x:f>IF(F71="","",F71+G71)</x:f>
      </x:c>
    </x:row>
    <x:row r="72" ht="22" customHeight="1">
      <x:c r="A72" s="33"/>
      <x:c r="B72" s="33"/>
      <x:c r="C72" s="36"/>
      <x:c r="D72" s="33"/>
      <x:c r="E72" s="36"/>
      <x:c r="F72" s="42"/>
      <x:c r="G72" s="48" t="str">
        <x:f>IF(F72="","",ROUND(F72*19%,0))</x:f>
      </x:c>
      <x:c r="H72" s="48" t="str">
        <x:f>IF(F72="","",F72+G72)</x:f>
      </x:c>
    </x:row>
    <x:row r="73" ht="22" customHeight="1">
      <x:c r="A73" s="33"/>
      <x:c r="B73" s="33"/>
      <x:c r="C73" s="36"/>
      <x:c r="D73" s="33"/>
      <x:c r="E73" s="36"/>
      <x:c r="F73" s="42"/>
      <x:c r="G73" s="48" t="str">
        <x:f>IF(F73="","",ROUND(F73*19%,0))</x:f>
      </x:c>
      <x:c r="H73" s="48" t="str">
        <x:f>IF(F73="","",F73+G73)</x:f>
      </x:c>
    </x:row>
    <x:row r="74" ht="22" customHeight="1">
      <x:c r="A74" s="33"/>
      <x:c r="B74" s="33"/>
      <x:c r="C74" s="36"/>
      <x:c r="D74" s="33"/>
      <x:c r="E74" s="36"/>
      <x:c r="F74" s="42"/>
      <x:c r="G74" s="48" t="str">
        <x:f>IF(F74="","",ROUND(F74*19%,0))</x:f>
      </x:c>
      <x:c r="H74" s="48" t="str">
        <x:f>IF(F74="","",F74+G74)</x:f>
      </x:c>
    </x:row>
    <x:row r="75" ht="22" customHeight="1">
      <x:c r="A75" s="33"/>
      <x:c r="B75" s="33"/>
      <x:c r="C75" s="36"/>
      <x:c r="D75" s="33"/>
      <x:c r="E75" s="36"/>
      <x:c r="F75" s="42"/>
      <x:c r="G75" s="48" t="str">
        <x:f>IF(F75="","",ROUND(F75*19%,0))</x:f>
      </x:c>
      <x:c r="H75" s="48" t="str">
        <x:f>IF(F75="","",F75+G75)</x:f>
      </x:c>
    </x:row>
    <x:row r="76" ht="22" customHeight="1">
      <x:c r="A76" s="33"/>
      <x:c r="B76" s="33"/>
      <x:c r="C76" s="36"/>
      <x:c r="D76" s="33"/>
      <x:c r="E76" s="36"/>
      <x:c r="F76" s="42"/>
      <x:c r="G76" s="48" t="str">
        <x:f>IF(F76="","",ROUND(F76*19%,0))</x:f>
      </x:c>
      <x:c r="H76" s="48" t="str">
        <x:f>IF(F76="","",F76+G76)</x:f>
      </x:c>
    </x:row>
    <x:row r="77" ht="22" customHeight="1">
      <x:c r="A77" s="33"/>
      <x:c r="B77" s="33"/>
      <x:c r="C77" s="36"/>
      <x:c r="D77" s="33"/>
      <x:c r="E77" s="36"/>
      <x:c r="F77" s="42"/>
      <x:c r="G77" s="48" t="str">
        <x:f>IF(F77="","",ROUND(F77*19%,0))</x:f>
      </x:c>
      <x:c r="H77" s="48" t="str">
        <x:f>IF(F77="","",F77+G77)</x:f>
      </x:c>
    </x:row>
    <x:row r="78" ht="22" customHeight="1">
      <x:c r="A78" s="33"/>
      <x:c r="B78" s="33"/>
      <x:c r="C78" s="36"/>
      <x:c r="D78" s="33"/>
      <x:c r="E78" s="36"/>
      <x:c r="F78" s="42"/>
      <x:c r="G78" s="48" t="str">
        <x:f>IF(F78="","",ROUND(F78*19%,0))</x:f>
      </x:c>
      <x:c r="H78" s="48" t="str">
        <x:f>IF(F78="","",F78+G78)</x:f>
      </x:c>
    </x:row>
    <x:row r="79" ht="22" customHeight="1">
      <x:c r="A79" s="33"/>
      <x:c r="B79" s="33"/>
      <x:c r="C79" s="36"/>
      <x:c r="D79" s="33"/>
      <x:c r="E79" s="36"/>
      <x:c r="F79" s="42"/>
      <x:c r="G79" s="48" t="str">
        <x:f>IF(F79="","",ROUND(F79*19%,0))</x:f>
      </x:c>
      <x:c r="H79" s="48" t="str">
        <x:f>IF(F79="","",F79+G79)</x:f>
      </x:c>
    </x:row>
    <x:row r="80" ht="22" customHeight="1">
      <x:c r="A80" s="33"/>
      <x:c r="B80" s="33"/>
      <x:c r="C80" s="36"/>
      <x:c r="D80" s="33"/>
      <x:c r="E80" s="36"/>
      <x:c r="F80" s="42"/>
      <x:c r="G80" s="48" t="str">
        <x:f>IF(F80="","",ROUND(F80*19%,0))</x:f>
      </x:c>
      <x:c r="H80" s="48" t="str">
        <x:f>IF(F80="","",F80+G80)</x:f>
      </x:c>
    </x:row>
    <x:row r="81" ht="22" customHeight="1">
      <x:c r="A81" s="33"/>
      <x:c r="B81" s="33"/>
      <x:c r="C81" s="36"/>
      <x:c r="D81" s="33"/>
      <x:c r="E81" s="36"/>
      <x:c r="F81" s="42"/>
      <x:c r="G81" s="48" t="str">
        <x:f>IF(F81="","",ROUND(F81*19%,0))</x:f>
      </x:c>
      <x:c r="H81" s="48" t="str">
        <x:f>IF(F81="","",F81+G81)</x:f>
      </x:c>
    </x:row>
    <x:row r="82" ht="22" customHeight="1">
      <x:c r="A82" s="33"/>
      <x:c r="B82" s="33"/>
      <x:c r="C82" s="36"/>
      <x:c r="D82" s="33"/>
      <x:c r="E82" s="36"/>
      <x:c r="F82" s="42"/>
      <x:c r="G82" s="48" t="str">
        <x:f>IF(F82="","",ROUND(F82*19%,0))</x:f>
      </x:c>
      <x:c r="H82" s="48" t="str">
        <x:f>IF(F82="","",F82+G82)</x:f>
      </x:c>
    </x:row>
    <x:row r="83" ht="22" customHeight="1">
      <x:c r="A83" s="33"/>
      <x:c r="B83" s="33"/>
      <x:c r="C83" s="36"/>
      <x:c r="D83" s="33"/>
      <x:c r="E83" s="36"/>
      <x:c r="F83" s="42"/>
      <x:c r="G83" s="48" t="str">
        <x:f>IF(F83="","",ROUND(F83*19%,0))</x:f>
      </x:c>
      <x:c r="H83" s="48" t="str">
        <x:f>IF(F83="","",F83+G83)</x:f>
      </x:c>
    </x:row>
    <x:row r="84" ht="22" customHeight="1">
      <x:c r="A84" s="33"/>
      <x:c r="B84" s="33"/>
      <x:c r="C84" s="36"/>
      <x:c r="D84" s="33"/>
      <x:c r="E84" s="36"/>
      <x:c r="F84" s="42"/>
      <x:c r="G84" s="48" t="str">
        <x:f>IF(F84="","",ROUND(F84*19%,0))</x:f>
      </x:c>
      <x:c r="H84" s="48" t="str">
        <x:f>IF(F84="","",F84+G84)</x:f>
      </x:c>
    </x:row>
    <x:row r="85" ht="22" customHeight="1">
      <x:c r="A85" s="33"/>
      <x:c r="B85" s="33"/>
      <x:c r="C85" s="36"/>
      <x:c r="D85" s="33"/>
      <x:c r="E85" s="36"/>
      <x:c r="F85" s="42"/>
      <x:c r="G85" s="48" t="str">
        <x:f>IF(F85="","",ROUND(F85*19%,0))</x:f>
      </x:c>
      <x:c r="H85" s="48" t="str">
        <x:f>IF(F85="","",F85+G85)</x:f>
      </x:c>
    </x:row>
    <x:row r="86" ht="22" customHeight="1">
      <x:c r="A86" s="33"/>
      <x:c r="B86" s="33"/>
      <x:c r="C86" s="36"/>
      <x:c r="D86" s="33"/>
      <x:c r="E86" s="36"/>
      <x:c r="F86" s="42"/>
      <x:c r="G86" s="48" t="str">
        <x:f>IF(F86="","",ROUND(F86*19%,0))</x:f>
      </x:c>
      <x:c r="H86" s="48" t="str">
        <x:f>IF(F86="","",F86+G86)</x:f>
      </x:c>
    </x:row>
    <x:row r="87" ht="22" customHeight="1">
      <x:c r="A87" s="33"/>
      <x:c r="B87" s="33"/>
      <x:c r="C87" s="36"/>
      <x:c r="D87" s="33"/>
      <x:c r="E87" s="36"/>
      <x:c r="F87" s="42"/>
      <x:c r="G87" s="48" t="str">
        <x:f>IF(F87="","",ROUND(F87*19%,0))</x:f>
      </x:c>
      <x:c r="H87" s="48" t="str">
        <x:f>IF(F87="","",F87+G87)</x:f>
      </x:c>
    </x:row>
    <x:row r="88" ht="22" customHeight="1">
      <x:c r="A88" s="33"/>
      <x:c r="B88" s="33"/>
      <x:c r="C88" s="36"/>
      <x:c r="D88" s="33"/>
      <x:c r="E88" s="36"/>
      <x:c r="F88" s="42"/>
      <x:c r="G88" s="48" t="str">
        <x:f>IF(F88="","",ROUND(F88*19%,0))</x:f>
      </x:c>
      <x:c r="H88" s="48" t="str">
        <x:f>IF(F88="","",F88+G88)</x:f>
      </x:c>
    </x:row>
    <x:row r="89" ht="22" customHeight="1">
      <x:c r="A89" s="33"/>
      <x:c r="B89" s="33"/>
      <x:c r="C89" s="36"/>
      <x:c r="D89" s="33"/>
      <x:c r="E89" s="36"/>
      <x:c r="F89" s="42"/>
      <x:c r="G89" s="48" t="str">
        <x:f>IF(F89="","",ROUND(F89*19%,0))</x:f>
      </x:c>
      <x:c r="H89" s="48" t="str">
        <x:f>IF(F89="","",F89+G89)</x:f>
      </x:c>
    </x:row>
    <x:row r="90" ht="22" customHeight="1">
      <x:c r="A90" s="33"/>
      <x:c r="B90" s="33"/>
      <x:c r="C90" s="36"/>
      <x:c r="D90" s="33"/>
      <x:c r="E90" s="36"/>
      <x:c r="F90" s="42"/>
      <x:c r="G90" s="48" t="str">
        <x:f>IF(F90="","",ROUND(F90*19%,0))</x:f>
      </x:c>
      <x:c r="H90" s="48" t="str">
        <x:f>IF(F90="","",F90+G90)</x:f>
      </x:c>
    </x:row>
    <x:row r="91" ht="22" customHeight="1">
      <x:c r="A91" s="33"/>
      <x:c r="B91" s="33"/>
      <x:c r="C91" s="36"/>
      <x:c r="D91" s="33"/>
      <x:c r="E91" s="36"/>
      <x:c r="F91" s="42"/>
      <x:c r="G91" s="48" t="str">
        <x:f>IF(F91="","",ROUND(F91*19%,0))</x:f>
      </x:c>
      <x:c r="H91" s="48" t="str">
        <x:f>IF(F91="","",F91+G91)</x:f>
      </x:c>
    </x:row>
    <x:row r="92" ht="22" customHeight="1">
      <x:c r="A92" s="33"/>
      <x:c r="B92" s="33"/>
      <x:c r="C92" s="36"/>
      <x:c r="D92" s="33"/>
      <x:c r="E92" s="36"/>
      <x:c r="F92" s="42"/>
      <x:c r="G92" s="48" t="str">
        <x:f>IF(F92="","",ROUND(F92*19%,0))</x:f>
      </x:c>
      <x:c r="H92" s="48" t="str">
        <x:f>IF(F92="","",F92+G92)</x:f>
      </x:c>
    </x:row>
    <x:row r="93" ht="22" customHeight="1">
      <x:c r="A93" s="33"/>
      <x:c r="B93" s="33"/>
      <x:c r="C93" s="36"/>
      <x:c r="D93" s="33"/>
      <x:c r="E93" s="36"/>
      <x:c r="F93" s="42"/>
      <x:c r="G93" s="48" t="str">
        <x:f>IF(F93="","",ROUND(F93*19%,0))</x:f>
      </x:c>
      <x:c r="H93" s="48" t="str">
        <x:f>IF(F93="","",F93+G93)</x:f>
      </x:c>
    </x:row>
    <x:row r="94" ht="22" customHeight="1">
      <x:c r="A94" s="33"/>
      <x:c r="B94" s="33"/>
      <x:c r="C94" s="36"/>
      <x:c r="D94" s="33"/>
      <x:c r="E94" s="36"/>
      <x:c r="F94" s="42"/>
      <x:c r="G94" s="48" t="str">
        <x:f>IF(F94="","",ROUND(F94*19%,0))</x:f>
      </x:c>
      <x:c r="H94" s="48" t="str">
        <x:f>IF(F94="","",F94+G94)</x:f>
      </x:c>
    </x:row>
    <x:row r="95" ht="22" customHeight="1">
      <x:c r="A95" s="33"/>
      <x:c r="B95" s="33"/>
      <x:c r="C95" s="36"/>
      <x:c r="D95" s="33"/>
      <x:c r="E95" s="36"/>
      <x:c r="F95" s="42"/>
      <x:c r="G95" s="48" t="str">
        <x:f>IF(F95="","",ROUND(F95*19%,0))</x:f>
      </x:c>
      <x:c r="H95" s="48" t="str">
        <x:f>IF(F95="","",F95+G95)</x:f>
      </x:c>
    </x:row>
    <x:row r="96" ht="22" customHeight="1">
      <x:c r="A96" s="33"/>
      <x:c r="B96" s="33"/>
      <x:c r="C96" s="36"/>
      <x:c r="D96" s="33"/>
      <x:c r="E96" s="36"/>
      <x:c r="F96" s="42"/>
      <x:c r="G96" s="48" t="str">
        <x:f>IF(F96="","",ROUND(F96*19%,0))</x:f>
      </x:c>
      <x:c r="H96" s="48" t="str">
        <x:f>IF(F96="","",F96+G96)</x:f>
      </x:c>
    </x:row>
    <x:row r="97" ht="22" customHeight="1">
      <x:c r="A97" s="33"/>
      <x:c r="B97" s="33"/>
      <x:c r="C97" s="36"/>
      <x:c r="D97" s="33"/>
      <x:c r="E97" s="36"/>
      <x:c r="F97" s="42"/>
      <x:c r="G97" s="48" t="str">
        <x:f>IF(F97="","",ROUND(F97*19%,0))</x:f>
      </x:c>
      <x:c r="H97" s="48" t="str">
        <x:f>IF(F97="","",F97+G97)</x:f>
      </x:c>
    </x:row>
    <x:row r="98" ht="22" customHeight="1">
      <x:c r="A98" s="33"/>
      <x:c r="B98" s="33"/>
      <x:c r="C98" s="36"/>
      <x:c r="D98" s="33"/>
      <x:c r="E98" s="36"/>
      <x:c r="F98" s="42"/>
      <x:c r="G98" s="48" t="str">
        <x:f>IF(F98="","",ROUND(F98*19%,0))</x:f>
      </x:c>
      <x:c r="H98" s="48" t="str">
        <x:f>IF(F98="","",F98+G98)</x:f>
      </x:c>
    </x:row>
    <x:row r="99" ht="22" customHeight="1">
      <x:c r="A99" s="33"/>
      <x:c r="B99" s="33"/>
      <x:c r="C99" s="36"/>
      <x:c r="D99" s="33"/>
      <x:c r="E99" s="36"/>
      <x:c r="F99" s="42"/>
      <x:c r="G99" s="48" t="str">
        <x:f>IF(F99="","",ROUND(F99*19%,0))</x:f>
      </x:c>
      <x:c r="H99" s="48" t="str">
        <x:f>IF(F99="","",F99+G99)</x:f>
      </x:c>
    </x:row>
    <x:row r="100" ht="22" customHeight="1">
      <x:c r="A100" s="33"/>
      <x:c r="B100" s="33"/>
      <x:c r="C100" s="36"/>
      <x:c r="D100" s="33"/>
      <x:c r="E100" s="36"/>
      <x:c r="F100" s="42"/>
      <x:c r="G100" s="48" t="str">
        <x:f>IF(F100="","",ROUND(F100*19%,0))</x:f>
      </x:c>
      <x:c r="H100" s="48" t="str">
        <x:f>IF(F100="","",F100+G100)</x:f>
      </x:c>
    </x:row>
    <x:row r="101" ht="22" customHeight="1">
      <x:c r="A101" s="33"/>
      <x:c r="B101" s="33"/>
      <x:c r="C101" s="36"/>
      <x:c r="D101" s="33"/>
      <x:c r="E101" s="36"/>
      <x:c r="F101" s="42"/>
      <x:c r="G101" s="48" t="str">
        <x:f>IF(F101="","",ROUND(F101*19%,0))</x:f>
      </x:c>
      <x:c r="H101" s="48" t="str">
        <x:f>IF(F101="","",F101+G101)</x:f>
      </x:c>
    </x:row>
    <x:row r="102" ht="22" customHeight="1">
      <x:c r="A102" s="33"/>
      <x:c r="B102" s="33"/>
      <x:c r="C102" s="36"/>
      <x:c r="D102" s="33"/>
      <x:c r="E102" s="36"/>
      <x:c r="F102" s="42"/>
      <x:c r="G102" s="48" t="str">
        <x:f>IF(F102="","",ROUND(F102*19%,0))</x:f>
      </x:c>
      <x:c r="H102" s="48" t="str">
        <x:f>IF(F102="","",F102+G102)</x:f>
      </x:c>
    </x:row>
    <x:row r="103" ht="22" customHeight="1">
      <x:c r="A103" s="33"/>
      <x:c r="B103" s="33"/>
      <x:c r="C103" s="36"/>
      <x:c r="D103" s="33"/>
      <x:c r="E103" s="36"/>
      <x:c r="F103" s="42"/>
      <x:c r="G103" s="48" t="str">
        <x:f>IF(F103="","",ROUND(F103*19%,0))</x:f>
      </x:c>
      <x:c r="H103" s="48" t="str">
        <x:f>IF(F103="","",F103+G103)</x:f>
      </x:c>
    </x:row>
    <x:row r="104" ht="22" customHeight="1">
      <x:c r="A104" s="33"/>
      <x:c r="B104" s="33"/>
      <x:c r="C104" s="36"/>
      <x:c r="D104" s="33"/>
      <x:c r="E104" s="36"/>
      <x:c r="F104" s="42"/>
      <x:c r="G104" s="48" t="str">
        <x:f>IF(F104="","",ROUND(F104*19%,0))</x:f>
      </x:c>
      <x:c r="H104" s="48" t="str">
        <x:f>IF(F104="","",F104+G104)</x:f>
      </x:c>
    </x:row>
    <x:row r="105" ht="22" customHeight="1">
      <x:c r="A105" s="33"/>
      <x:c r="B105" s="33"/>
      <x:c r="C105" s="36"/>
      <x:c r="D105" s="33"/>
      <x:c r="E105" s="36"/>
      <x:c r="F105" s="42"/>
      <x:c r="G105" s="48" t="str">
        <x:f>IF(F105="","",ROUND(F105*19%,0))</x:f>
      </x:c>
      <x:c r="H105" s="48" t="str">
        <x:f>IF(F105="","",F105+G105)</x:f>
      </x:c>
    </x:row>
    <x:row r="106" ht="22" customHeight="1">
      <x:c r="A106" s="33"/>
      <x:c r="B106" s="33"/>
      <x:c r="C106" s="36"/>
      <x:c r="D106" s="33"/>
      <x:c r="E106" s="36"/>
      <x:c r="F106" s="42"/>
      <x:c r="G106" s="48" t="str">
        <x:f>IF(F106="","",ROUND(F106*19%,0))</x:f>
      </x:c>
      <x:c r="H106" s="48" t="str">
        <x:f>IF(F106="","",F106+G106)</x:f>
      </x:c>
    </x:row>
    <x:row r="107" ht="22" customHeight="1">
      <x:c r="A107" s="33"/>
      <x:c r="B107" s="33"/>
      <x:c r="C107" s="36"/>
      <x:c r="D107" s="33"/>
      <x:c r="E107" s="36"/>
      <x:c r="F107" s="42"/>
      <x:c r="G107" s="48" t="str">
        <x:f>IF(F107="","",ROUND(F107*19%,0))</x:f>
      </x:c>
      <x:c r="H107" s="48" t="str">
        <x:f>IF(F107="","",F107+G107)</x:f>
      </x:c>
    </x:row>
    <x:row r="108" ht="22" customHeight="1">
      <x:c r="A108" s="33"/>
      <x:c r="B108" s="33"/>
      <x:c r="C108" s="36"/>
      <x:c r="D108" s="33"/>
      <x:c r="E108" s="36"/>
      <x:c r="F108" s="42"/>
      <x:c r="G108" s="48" t="str">
        <x:f>IF(F108="","",ROUND(F108*19%,0))</x:f>
      </x:c>
      <x:c r="H108" s="48" t="str">
        <x:f>IF(F108="","",F108+G108)</x:f>
      </x:c>
    </x:row>
    <x:row r="109" ht="22" customHeight="1">
      <x:c r="A109" s="33"/>
      <x:c r="B109" s="33"/>
      <x:c r="C109" s="36"/>
      <x:c r="D109" s="33"/>
      <x:c r="E109" s="36"/>
      <x:c r="F109" s="42"/>
      <x:c r="G109" s="48" t="str">
        <x:f>IF(F109="","",ROUND(F109*19%,0))</x:f>
      </x:c>
      <x:c r="H109" s="48" t="str">
        <x:f>IF(F109="","",F109+G109)</x:f>
      </x:c>
    </x:row>
    <x:row r="110" ht="22" customHeight="1">
      <x:c r="A110" s="33"/>
      <x:c r="B110" s="33"/>
      <x:c r="C110" s="36"/>
      <x:c r="D110" s="33"/>
      <x:c r="E110" s="36"/>
      <x:c r="F110" s="42"/>
      <x:c r="G110" s="48" t="str">
        <x:f>IF(F110="","",ROUND(F110*19%,0))</x:f>
      </x:c>
      <x:c r="H110" s="48" t="str">
        <x:f>IF(F110="","",F110+G110)</x:f>
      </x:c>
    </x:row>
    <x:row r="111" ht="22" customHeight="1">
      <x:c r="A111" s="33"/>
      <x:c r="B111" s="33"/>
      <x:c r="C111" s="36"/>
      <x:c r="D111" s="33"/>
      <x:c r="E111" s="36"/>
      <x:c r="F111" s="42"/>
      <x:c r="G111" s="48" t="str">
        <x:f>IF(F111="","",ROUND(F111*19%,0))</x:f>
      </x:c>
      <x:c r="H111" s="48" t="str">
        <x:f>IF(F111="","",F111+G111)</x:f>
      </x:c>
    </x:row>
    <x:row r="112" ht="22" customHeight="1">
      <x:c r="A112" s="33"/>
      <x:c r="B112" s="33"/>
      <x:c r="C112" s="36"/>
      <x:c r="D112" s="33"/>
      <x:c r="E112" s="36"/>
      <x:c r="F112" s="42"/>
      <x:c r="G112" s="48" t="str">
        <x:f>IF(F112="","",ROUND(F112*19%,0))</x:f>
      </x:c>
      <x:c r="H112" s="48" t="str">
        <x:f>IF(F112="","",F112+G112)</x:f>
      </x:c>
    </x:row>
    <x:row r="113" ht="22" customHeight="1">
      <x:c r="A113" s="33"/>
      <x:c r="B113" s="33"/>
      <x:c r="C113" s="36"/>
      <x:c r="D113" s="33"/>
      <x:c r="E113" s="36"/>
      <x:c r="F113" s="42"/>
      <x:c r="G113" s="48" t="str">
        <x:f>IF(F113="","",ROUND(F113*19%,0))</x:f>
      </x:c>
      <x:c r="H113" s="48" t="str">
        <x:f>IF(F113="","",F113+G113)</x:f>
      </x:c>
    </x:row>
    <x:row r="114" ht="22" customHeight="1">
      <x:c r="A114" s="33"/>
      <x:c r="B114" s="33"/>
      <x:c r="C114" s="36"/>
      <x:c r="D114" s="33"/>
      <x:c r="E114" s="36"/>
      <x:c r="F114" s="42"/>
      <x:c r="G114" s="48" t="str">
        <x:f>IF(F114="","",ROUND(F114*19%,0))</x:f>
      </x:c>
      <x:c r="H114" s="48" t="str">
        <x:f>IF(F114="","",F114+G114)</x:f>
      </x:c>
    </x:row>
    <x:row r="115" ht="22" customHeight="1">
      <x:c r="A115" s="33"/>
      <x:c r="B115" s="33"/>
      <x:c r="C115" s="36"/>
      <x:c r="D115" s="33"/>
      <x:c r="E115" s="36"/>
      <x:c r="F115" s="42"/>
      <x:c r="G115" s="48" t="str">
        <x:f>IF(F115="","",ROUND(F115*19%,0))</x:f>
      </x:c>
      <x:c r="H115" s="48" t="str">
        <x:f>IF(F115="","",F115+G115)</x:f>
      </x:c>
    </x:row>
    <x:row r="116" ht="22" customHeight="1">
      <x:c r="A116" s="33"/>
      <x:c r="B116" s="33"/>
      <x:c r="C116" s="36"/>
      <x:c r="D116" s="33"/>
      <x:c r="E116" s="36"/>
      <x:c r="F116" s="42"/>
      <x:c r="G116" s="48" t="str">
        <x:f>IF(F116="","",ROUND(F116*19%,0))</x:f>
      </x:c>
      <x:c r="H116" s="48" t="str">
        <x:f>IF(F116="","",F116+G116)</x:f>
      </x:c>
    </x:row>
    <x:row r="117" ht="22" customHeight="1">
      <x:c r="A117" s="33"/>
      <x:c r="B117" s="33"/>
      <x:c r="C117" s="36"/>
      <x:c r="D117" s="33"/>
      <x:c r="E117" s="36"/>
      <x:c r="F117" s="42"/>
      <x:c r="G117" s="48" t="str">
        <x:f>IF(F117="","",ROUND(F117*19%,0))</x:f>
      </x:c>
      <x:c r="H117" s="48" t="str">
        <x:f>IF(F117="","",F117+G117)</x:f>
      </x:c>
    </x:row>
    <x:row r="118" ht="22" customHeight="1">
      <x:c r="A118" s="33"/>
      <x:c r="B118" s="33"/>
      <x:c r="C118" s="36"/>
      <x:c r="D118" s="33"/>
      <x:c r="E118" s="36"/>
      <x:c r="F118" s="42"/>
      <x:c r="G118" s="48" t="str">
        <x:f>IF(F118="","",ROUND(F118*19%,0))</x:f>
      </x:c>
      <x:c r="H118" s="48" t="str">
        <x:f>IF(F118="","",F118+G118)</x:f>
      </x:c>
    </x:row>
    <x:row r="119" ht="22" customHeight="1">
      <x:c r="A119" s="33"/>
      <x:c r="B119" s="33"/>
      <x:c r="C119" s="36"/>
      <x:c r="D119" s="33"/>
      <x:c r="E119" s="36"/>
      <x:c r="F119" s="42"/>
      <x:c r="G119" s="48" t="str">
        <x:f>IF(F119="","",ROUND(F119*19%,0))</x:f>
      </x:c>
      <x:c r="H119" s="48" t="str">
        <x:f>IF(F119="","",F119+G119)</x:f>
      </x:c>
    </x:row>
    <x:row r="120" ht="22" customHeight="1">
      <x:c r="A120" s="33"/>
      <x:c r="B120" s="33"/>
      <x:c r="C120" s="36"/>
      <x:c r="D120" s="33"/>
      <x:c r="E120" s="36"/>
      <x:c r="F120" s="42"/>
      <x:c r="G120" s="48" t="str">
        <x:f>IF(F120="","",ROUND(F120*19%,0))</x:f>
      </x:c>
      <x:c r="H120" s="48" t="str">
        <x:f>IF(F120="","",F120+G120)</x:f>
      </x:c>
    </x:row>
    <x:row r="121" ht="22" customHeight="1">
      <x:c r="A121" s="33"/>
      <x:c r="B121" s="33"/>
      <x:c r="C121" s="36"/>
      <x:c r="D121" s="33"/>
      <x:c r="E121" s="36"/>
      <x:c r="F121" s="42"/>
      <x:c r="G121" s="48" t="str">
        <x:f>IF(F121="","",ROUND(F121*19%,0))</x:f>
      </x:c>
      <x:c r="H121" s="48" t="str">
        <x:f>IF(F121="","",F121+G121)</x:f>
      </x:c>
    </x:row>
    <x:row r="122" ht="22" customHeight="1">
      <x:c r="A122" s="33"/>
      <x:c r="B122" s="33"/>
      <x:c r="C122" s="36"/>
      <x:c r="D122" s="33"/>
      <x:c r="E122" s="36"/>
      <x:c r="F122" s="42"/>
      <x:c r="G122" s="48" t="str">
        <x:f>IF(F122="","",ROUND(F122*19%,0))</x:f>
      </x:c>
      <x:c r="H122" s="48" t="str">
        <x:f>IF(F122="","",F122+G122)</x:f>
      </x:c>
    </x:row>
    <x:row r="123" ht="22" customHeight="1">
      <x:c r="A123" s="33"/>
      <x:c r="B123" s="33"/>
      <x:c r="C123" s="36"/>
      <x:c r="D123" s="33"/>
      <x:c r="E123" s="36"/>
      <x:c r="F123" s="42"/>
      <x:c r="G123" s="48" t="str">
        <x:f>IF(F123="","",ROUND(F123*19%,0))</x:f>
      </x:c>
      <x:c r="H123" s="48" t="str">
        <x:f>IF(F123="","",F123+G123)</x:f>
      </x:c>
    </x:row>
    <x:row r="124" ht="22" customHeight="1">
      <x:c r="A124" s="33"/>
      <x:c r="B124" s="33"/>
      <x:c r="C124" s="36"/>
      <x:c r="D124" s="33"/>
      <x:c r="E124" s="36"/>
      <x:c r="F124" s="42"/>
      <x:c r="G124" s="48" t="str">
        <x:f>IF(F124="","",ROUND(F124*19%,0))</x:f>
      </x:c>
      <x:c r="H124" s="48" t="str">
        <x:f>IF(F124="","",F124+G124)</x:f>
      </x:c>
    </x:row>
    <x:row r="125" ht="22" customHeight="1">
      <x:c r="A125" s="33"/>
      <x:c r="B125" s="33"/>
      <x:c r="C125" s="36"/>
      <x:c r="D125" s="33"/>
      <x:c r="E125" s="36"/>
      <x:c r="F125" s="42"/>
      <x:c r="G125" s="48" t="str">
        <x:f>IF(F125="","",ROUND(F125*19%,0))</x:f>
      </x:c>
      <x:c r="H125" s="48" t="str">
        <x:f>IF(F125="","",F125+G125)</x:f>
      </x:c>
    </x:row>
    <x:row r="126" ht="22" customHeight="1">
      <x:c r="A126" s="33"/>
      <x:c r="B126" s="33"/>
      <x:c r="C126" s="36"/>
      <x:c r="D126" s="33"/>
      <x:c r="E126" s="36"/>
      <x:c r="F126" s="42"/>
      <x:c r="G126" s="48" t="str">
        <x:f>IF(F126="","",ROUND(F126*19%,0))</x:f>
      </x:c>
      <x:c r="H126" s="48" t="str">
        <x:f>IF(F126="","",F126+G126)</x:f>
      </x:c>
    </x:row>
    <x:row r="127" ht="22" customHeight="1">
      <x:c r="A127" s="33"/>
      <x:c r="B127" s="33"/>
      <x:c r="C127" s="36"/>
      <x:c r="D127" s="33"/>
      <x:c r="E127" s="36"/>
      <x:c r="F127" s="42"/>
      <x:c r="G127" s="48" t="str">
        <x:f>IF(F127="","",ROUND(F127*19%,0))</x:f>
      </x:c>
      <x:c r="H127" s="48" t="str">
        <x:f>IF(F127="","",F127+G127)</x:f>
      </x:c>
    </x:row>
    <x:row r="128" ht="22" customHeight="1">
      <x:c r="A128" s="33"/>
      <x:c r="B128" s="33"/>
      <x:c r="C128" s="36"/>
      <x:c r="D128" s="33"/>
      <x:c r="E128" s="36"/>
      <x:c r="F128" s="42"/>
      <x:c r="G128" s="48" t="str">
        <x:f>IF(F128="","",ROUND(F128*19%,0))</x:f>
      </x:c>
      <x:c r="H128" s="48" t="str">
        <x:f>IF(F128="","",F128+G128)</x:f>
      </x:c>
    </x:row>
    <x:row r="129" ht="22" customHeight="1">
      <x:c r="A129" s="33"/>
      <x:c r="B129" s="33"/>
      <x:c r="C129" s="36"/>
      <x:c r="D129" s="33"/>
      <x:c r="E129" s="36"/>
      <x:c r="F129" s="42"/>
      <x:c r="G129" s="48" t="str">
        <x:f>IF(F129="","",ROUND(F129*19%,0))</x:f>
      </x:c>
      <x:c r="H129" s="48" t="str">
        <x:f>IF(F129="","",F129+G129)</x:f>
      </x:c>
    </x:row>
    <x:row r="130" ht="22" customHeight="1">
      <x:c r="A130" s="33"/>
      <x:c r="B130" s="33"/>
      <x:c r="C130" s="36"/>
      <x:c r="D130" s="33"/>
      <x:c r="E130" s="36"/>
      <x:c r="F130" s="42"/>
      <x:c r="G130" s="48" t="str">
        <x:f>IF(F130="","",ROUND(F130*19%,0))</x:f>
      </x:c>
      <x:c r="H130" s="48" t="str">
        <x:f>IF(F130="","",F130+G130)</x:f>
      </x:c>
    </x:row>
    <x:row r="131" ht="22" customHeight="1">
      <x:c r="A131" s="33"/>
      <x:c r="B131" s="33"/>
      <x:c r="C131" s="36"/>
      <x:c r="D131" s="33"/>
      <x:c r="E131" s="36"/>
      <x:c r="F131" s="42"/>
      <x:c r="G131" s="48" t="str">
        <x:f>IF(F131="","",ROUND(F131*19%,0))</x:f>
      </x:c>
      <x:c r="H131" s="48" t="str">
        <x:f>IF(F131="","",F131+G131)</x:f>
      </x:c>
    </x:row>
    <x:row r="132" ht="22" customHeight="1">
      <x:c r="A132" s="33"/>
      <x:c r="B132" s="33"/>
      <x:c r="C132" s="36"/>
      <x:c r="D132" s="33"/>
      <x:c r="E132" s="36"/>
      <x:c r="F132" s="42"/>
      <x:c r="G132" s="48" t="str">
        <x:f>IF(F132="","",ROUND(F132*19%,0))</x:f>
      </x:c>
      <x:c r="H132" s="48" t="str">
        <x:f>IF(F132="","",F132+G132)</x:f>
      </x:c>
    </x:row>
    <x:row r="133" ht="22" customHeight="1">
      <x:c r="A133" s="33"/>
      <x:c r="B133" s="33"/>
      <x:c r="C133" s="36"/>
      <x:c r="D133" s="33"/>
      <x:c r="E133" s="36"/>
      <x:c r="F133" s="42"/>
      <x:c r="G133" s="48" t="str">
        <x:f>IF(F133="","",ROUND(F133*19%,0))</x:f>
      </x:c>
      <x:c r="H133" s="48" t="str">
        <x:f>IF(F133="","",F133+G133)</x:f>
      </x:c>
    </x:row>
    <x:row r="134" ht="22" customHeight="1">
      <x:c r="A134" s="33"/>
      <x:c r="B134" s="33"/>
      <x:c r="C134" s="36"/>
      <x:c r="D134" s="33"/>
      <x:c r="E134" s="36"/>
      <x:c r="F134" s="42"/>
      <x:c r="G134" s="48" t="str">
        <x:f>IF(F134="","",ROUND(F134*19%,0))</x:f>
      </x:c>
      <x:c r="H134" s="48" t="str">
        <x:f>IF(F134="","",F134+G134)</x:f>
      </x:c>
    </x:row>
    <x:row r="135" ht="22" customHeight="1">
      <x:c r="A135" s="33"/>
      <x:c r="B135" s="33"/>
      <x:c r="C135" s="36"/>
      <x:c r="D135" s="33"/>
      <x:c r="E135" s="36"/>
      <x:c r="F135" s="42"/>
      <x:c r="G135" s="48" t="str">
        <x:f>IF(F135="","",ROUND(F135*19%,0))</x:f>
      </x:c>
      <x:c r="H135" s="48" t="str">
        <x:f>IF(F135="","",F135+G135)</x:f>
      </x:c>
    </x:row>
    <x:row r="136" ht="22" customHeight="1">
      <x:c r="A136" s="33"/>
      <x:c r="B136" s="33"/>
      <x:c r="C136" s="36"/>
      <x:c r="D136" s="33"/>
      <x:c r="E136" s="36"/>
      <x:c r="F136" s="42"/>
      <x:c r="G136" s="48" t="str">
        <x:f>IF(F136="","",ROUND(F136*19%,0))</x:f>
      </x:c>
      <x:c r="H136" s="48" t="str">
        <x:f>IF(F136="","",F136+G136)</x:f>
      </x:c>
    </x:row>
    <x:row r="137" ht="22" customHeight="1">
      <x:c r="A137" s="33"/>
      <x:c r="B137" s="33"/>
      <x:c r="C137" s="36"/>
      <x:c r="D137" s="33"/>
      <x:c r="E137" s="36"/>
      <x:c r="F137" s="42"/>
      <x:c r="G137" s="48" t="str">
        <x:f>IF(F137="","",ROUND(F137*19%,0))</x:f>
      </x:c>
      <x:c r="H137" s="48" t="str">
        <x:f>IF(F137="","",F137+G137)</x:f>
      </x:c>
    </x:row>
    <x:row r="138" ht="22" customHeight="1">
      <x:c r="A138" s="33"/>
      <x:c r="B138" s="33"/>
      <x:c r="C138" s="36"/>
      <x:c r="D138" s="33"/>
      <x:c r="E138" s="36"/>
      <x:c r="F138" s="42"/>
      <x:c r="G138" s="48" t="str">
        <x:f>IF(F138="","",ROUND(F138*19%,0))</x:f>
      </x:c>
      <x:c r="H138" s="48" t="str">
        <x:f>IF(F138="","",F138+G138)</x:f>
      </x:c>
    </x:row>
    <x:row r="139" ht="22" customHeight="1">
      <x:c r="A139" s="33"/>
      <x:c r="B139" s="33"/>
      <x:c r="C139" s="36"/>
      <x:c r="D139" s="33"/>
      <x:c r="E139" s="36"/>
      <x:c r="F139" s="42"/>
      <x:c r="G139" s="48" t="str">
        <x:f>IF(F139="","",ROUND(F139*19%,0))</x:f>
      </x:c>
      <x:c r="H139" s="48" t="str">
        <x:f>IF(F139="","",F139+G139)</x:f>
      </x:c>
    </x:row>
    <x:row r="140" ht="22" customHeight="1">
      <x:c r="A140" s="33"/>
      <x:c r="B140" s="33"/>
      <x:c r="C140" s="36"/>
      <x:c r="D140" s="33"/>
      <x:c r="E140" s="36"/>
      <x:c r="F140" s="42"/>
      <x:c r="G140" s="48" t="str">
        <x:f>IF(F140="","",ROUND(F140*19%,0))</x:f>
      </x:c>
      <x:c r="H140" s="48" t="str">
        <x:f>IF(F140="","",F140+G140)</x:f>
      </x:c>
    </x:row>
    <x:row r="141" ht="22" customHeight="1">
      <x:c r="A141" s="33"/>
      <x:c r="B141" s="33"/>
      <x:c r="C141" s="36"/>
      <x:c r="D141" s="33"/>
      <x:c r="E141" s="36"/>
      <x:c r="F141" s="42"/>
      <x:c r="G141" s="48" t="str">
        <x:f>IF(F141="","",ROUND(F141*19%,0))</x:f>
      </x:c>
      <x:c r="H141" s="48" t="str">
        <x:f>IF(F141="","",F141+G141)</x:f>
      </x:c>
    </x:row>
    <x:row r="142" ht="22" customHeight="1">
      <x:c r="A142" s="33"/>
      <x:c r="B142" s="33"/>
      <x:c r="C142" s="36"/>
      <x:c r="D142" s="33"/>
      <x:c r="E142" s="36"/>
      <x:c r="F142" s="42"/>
      <x:c r="G142" s="48" t="str">
        <x:f>IF(F142="","",ROUND(F142*19%,0))</x:f>
      </x:c>
      <x:c r="H142" s="48" t="str">
        <x:f>IF(F142="","",F142+G142)</x:f>
      </x:c>
    </x:row>
    <x:row r="143" ht="22" customHeight="1">
      <x:c r="A143" s="33"/>
      <x:c r="B143" s="33"/>
      <x:c r="C143" s="36"/>
      <x:c r="D143" s="33"/>
      <x:c r="E143" s="36"/>
      <x:c r="F143" s="42"/>
      <x:c r="G143" s="48" t="str">
        <x:f>IF(F143="","",ROUND(F143*19%,0))</x:f>
      </x:c>
      <x:c r="H143" s="48" t="str">
        <x:f>IF(F143="","",F143+G143)</x:f>
      </x:c>
    </x:row>
    <x:row r="144" ht="22" customHeight="1">
      <x:c r="A144" s="33"/>
      <x:c r="B144" s="33"/>
      <x:c r="C144" s="36"/>
      <x:c r="D144" s="33"/>
      <x:c r="E144" s="36"/>
      <x:c r="F144" s="42"/>
      <x:c r="G144" s="48" t="str">
        <x:f>IF(F144="","",ROUND(F144*19%,0))</x:f>
      </x:c>
      <x:c r="H144" s="48" t="str">
        <x:f>IF(F144="","",F144+G144)</x:f>
      </x:c>
    </x:row>
    <x:row r="145" ht="22" customHeight="1">
      <x:c r="A145" s="33"/>
      <x:c r="B145" s="33"/>
      <x:c r="C145" s="36"/>
      <x:c r="D145" s="33"/>
      <x:c r="E145" s="36"/>
      <x:c r="F145" s="42"/>
      <x:c r="G145" s="48" t="str">
        <x:f>IF(F145="","",ROUND(F145*19%,0))</x:f>
      </x:c>
      <x:c r="H145" s="48" t="str">
        <x:f>IF(F145="","",F145+G145)</x:f>
      </x:c>
    </x:row>
    <x:row r="146" ht="22" customHeight="1">
      <x:c r="A146" s="33"/>
      <x:c r="B146" s="33"/>
      <x:c r="C146" s="36"/>
      <x:c r="D146" s="33"/>
      <x:c r="E146" s="36"/>
      <x:c r="F146" s="42"/>
      <x:c r="G146" s="48" t="str">
        <x:f>IF(F146="","",ROUND(F146*19%,0))</x:f>
      </x:c>
      <x:c r="H146" s="48" t="str">
        <x:f>IF(F146="","",F146+G146)</x:f>
      </x:c>
    </x:row>
    <x:row r="147" ht="22" customHeight="1">
      <x:c r="A147" s="33"/>
      <x:c r="B147" s="33"/>
      <x:c r="C147" s="36"/>
      <x:c r="D147" s="33"/>
      <x:c r="E147" s="36"/>
      <x:c r="F147" s="42"/>
      <x:c r="G147" s="48" t="str">
        <x:f>IF(F147="","",ROUND(F147*19%,0))</x:f>
      </x:c>
      <x:c r="H147" s="48" t="str">
        <x:f>IF(F147="","",F147+G147)</x:f>
      </x:c>
    </x:row>
    <x:row r="148" ht="22" customHeight="1">
      <x:c r="A148" s="33"/>
      <x:c r="B148" s="33"/>
      <x:c r="C148" s="36"/>
      <x:c r="D148" s="33"/>
      <x:c r="E148" s="36"/>
      <x:c r="F148" s="42"/>
      <x:c r="G148" s="48" t="str">
        <x:f>IF(F148="","",ROUND(F148*19%,0))</x:f>
      </x:c>
      <x:c r="H148" s="48" t="str">
        <x:f>IF(F148="","",F148+G148)</x:f>
      </x:c>
    </x:row>
    <x:row r="149" ht="22" customHeight="1">
      <x:c r="A149" s="33"/>
      <x:c r="B149" s="33"/>
      <x:c r="C149" s="36"/>
      <x:c r="D149" s="33"/>
      <x:c r="E149" s="36"/>
      <x:c r="F149" s="42"/>
      <x:c r="G149" s="48" t="str">
        <x:f>IF(F149="","",ROUND(F149*19%,0))</x:f>
      </x:c>
      <x:c r="H149" s="48" t="str">
        <x:f>IF(F149="","",F149+G149)</x:f>
      </x:c>
    </x:row>
    <x:row r="150" ht="22" customHeight="1">
      <x:c r="A150" s="33"/>
      <x:c r="B150" s="33"/>
      <x:c r="C150" s="36"/>
      <x:c r="D150" s="33"/>
      <x:c r="E150" s="36"/>
      <x:c r="F150" s="42"/>
      <x:c r="G150" s="48" t="str">
        <x:f>IF(F150="","",ROUND(F150*19%,0))</x:f>
      </x:c>
      <x:c r="H150" s="48" t="str">
        <x:f>IF(F150="","",F150+G150)</x:f>
      </x:c>
    </x:row>
    <x:row r="151" ht="22" customHeight="1">
      <x:c r="A151" s="33"/>
      <x:c r="B151" s="33"/>
      <x:c r="C151" s="36"/>
      <x:c r="D151" s="33"/>
      <x:c r="E151" s="36"/>
      <x:c r="F151" s="42"/>
      <x:c r="G151" s="48" t="str">
        <x:f>IF(F151="","",ROUND(F151*19%,0))</x:f>
      </x:c>
      <x:c r="H151" s="48" t="str">
        <x:f>IF(F151="","",F151+G151)</x:f>
      </x:c>
    </x:row>
    <x:row r="152" ht="22" customHeight="1">
      <x:c r="A152" s="33"/>
      <x:c r="B152" s="33"/>
      <x:c r="C152" s="36"/>
      <x:c r="D152" s="33"/>
      <x:c r="E152" s="36"/>
      <x:c r="F152" s="42"/>
      <x:c r="G152" s="48" t="str">
        <x:f>IF(F152="","",ROUND(F152*19%,0))</x:f>
      </x:c>
      <x:c r="H152" s="48" t="str">
        <x:f>IF(F152="","",F152+G152)</x:f>
      </x:c>
    </x:row>
    <x:row r="153" ht="22" customHeight="1">
      <x:c r="A153" s="33"/>
      <x:c r="B153" s="33"/>
      <x:c r="C153" s="36"/>
      <x:c r="D153" s="33"/>
      <x:c r="E153" s="36"/>
      <x:c r="F153" s="42"/>
      <x:c r="G153" s="48" t="str">
        <x:f>IF(F153="","",ROUND(F153*19%,0))</x:f>
      </x:c>
      <x:c r="H153" s="48" t="str">
        <x:f>IF(F153="","",F153+G153)</x:f>
      </x:c>
    </x:row>
    <x:row r="154" ht="22" customHeight="1">
      <x:c r="A154" s="33"/>
      <x:c r="B154" s="33"/>
      <x:c r="C154" s="36"/>
      <x:c r="D154" s="33"/>
      <x:c r="E154" s="36"/>
      <x:c r="F154" s="42"/>
      <x:c r="G154" s="48" t="str">
        <x:f>IF(F154="","",ROUND(F154*19%,0))</x:f>
      </x:c>
      <x:c r="H154" s="48" t="str">
        <x:f>IF(F154="","",F154+G154)</x:f>
      </x:c>
    </x:row>
    <x:row r="155" ht="22" customHeight="1">
      <x:c r="A155" s="33"/>
      <x:c r="B155" s="33"/>
      <x:c r="C155" s="36"/>
      <x:c r="D155" s="33"/>
      <x:c r="E155" s="36"/>
      <x:c r="F155" s="42"/>
      <x:c r="G155" s="48" t="str">
        <x:f>IF(F155="","",ROUND(F155*19%,0))</x:f>
      </x:c>
      <x:c r="H155" s="48" t="str">
        <x:f>IF(F155="","",F155+G155)</x:f>
      </x:c>
    </x:row>
    <x:row r="156" ht="22" customHeight="1">
      <x:c r="A156" s="33"/>
      <x:c r="B156" s="33"/>
      <x:c r="C156" s="36"/>
      <x:c r="D156" s="33"/>
      <x:c r="E156" s="36"/>
      <x:c r="F156" s="42"/>
      <x:c r="G156" s="48" t="str">
        <x:f>IF(F156="","",ROUND(F156*19%,0))</x:f>
      </x:c>
      <x:c r="H156" s="48" t="str">
        <x:f>IF(F156="","",F156+G156)</x:f>
      </x:c>
    </x:row>
    <x:row r="157" ht="22" customHeight="1">
      <x:c r="A157" s="33"/>
      <x:c r="B157" s="33"/>
      <x:c r="C157" s="36"/>
      <x:c r="D157" s="33"/>
      <x:c r="E157" s="36"/>
      <x:c r="F157" s="42"/>
      <x:c r="G157" s="48" t="str">
        <x:f>IF(F157="","",ROUND(F157*19%,0))</x:f>
      </x:c>
      <x:c r="H157" s="48" t="str">
        <x:f>IF(F157="","",F157+G157)</x:f>
      </x:c>
    </x:row>
    <x:row r="158" ht="22" customHeight="1">
      <x:c r="A158" s="33"/>
      <x:c r="B158" s="33"/>
      <x:c r="C158" s="36"/>
      <x:c r="D158" s="33"/>
      <x:c r="E158" s="36"/>
      <x:c r="F158" s="42"/>
      <x:c r="G158" s="48" t="str">
        <x:f>IF(F158="","",ROUND(F158*19%,0))</x:f>
      </x:c>
      <x:c r="H158" s="48" t="str">
        <x:f>IF(F158="","",F158+G158)</x:f>
      </x:c>
    </x:row>
    <x:row r="159" ht="22" customHeight="1">
      <x:c r="A159" s="33"/>
      <x:c r="B159" s="33"/>
      <x:c r="C159" s="36"/>
      <x:c r="D159" s="33"/>
      <x:c r="E159" s="36"/>
      <x:c r="F159" s="42"/>
      <x:c r="G159" s="48" t="str">
        <x:f>IF(F159="","",ROUND(F159*19%,0))</x:f>
      </x:c>
      <x:c r="H159" s="48" t="str">
        <x:f>IF(F159="","",F159+G159)</x:f>
      </x:c>
    </x:row>
    <x:row r="160" ht="22" customHeight="1">
      <x:c r="A160" s="33"/>
      <x:c r="B160" s="33"/>
      <x:c r="C160" s="36"/>
      <x:c r="D160" s="33"/>
      <x:c r="E160" s="36"/>
      <x:c r="F160" s="42"/>
      <x:c r="G160" s="48" t="str">
        <x:f>IF(F160="","",ROUND(F160*19%,0))</x:f>
      </x:c>
      <x:c r="H160" s="48" t="str">
        <x:f>IF(F160="","",F160+G160)</x:f>
      </x:c>
    </x:row>
    <x:row r="161" ht="22" customHeight="1">
      <x:c r="A161" s="33"/>
      <x:c r="B161" s="33"/>
      <x:c r="C161" s="36"/>
      <x:c r="D161" s="33"/>
      <x:c r="E161" s="36"/>
      <x:c r="F161" s="42"/>
      <x:c r="G161" s="48" t="str">
        <x:f>IF(F161="","",ROUND(F161*19%,0))</x:f>
      </x:c>
      <x:c r="H161" s="48" t="str">
        <x:f>IF(F161="","",F161+G161)</x:f>
      </x:c>
    </x:row>
    <x:row r="162" ht="22" customHeight="1">
      <x:c r="A162" s="33"/>
      <x:c r="B162" s="33"/>
      <x:c r="C162" s="36"/>
      <x:c r="D162" s="33"/>
      <x:c r="E162" s="36"/>
      <x:c r="F162" s="42"/>
      <x:c r="G162" s="48" t="str">
        <x:f>IF(F162="","",ROUND(F162*19%,0))</x:f>
      </x:c>
      <x:c r="H162" s="48" t="str">
        <x:f>IF(F162="","",F162+G162)</x:f>
      </x:c>
    </x:row>
    <x:row r="163" ht="22" customHeight="1">
      <x:c r="A163" s="33"/>
      <x:c r="B163" s="33"/>
      <x:c r="C163" s="36"/>
      <x:c r="D163" s="33"/>
      <x:c r="E163" s="36"/>
      <x:c r="F163" s="42"/>
      <x:c r="G163" s="48" t="str">
        <x:f>IF(F163="","",ROUND(F163*19%,0))</x:f>
      </x:c>
      <x:c r="H163" s="48" t="str">
        <x:f>IF(F163="","",F163+G163)</x:f>
      </x:c>
    </x:row>
    <x:row r="164" ht="22" customHeight="1">
      <x:c r="A164" s="33"/>
      <x:c r="B164" s="33"/>
      <x:c r="C164" s="36"/>
      <x:c r="D164" s="33"/>
      <x:c r="E164" s="36"/>
      <x:c r="F164" s="42"/>
      <x:c r="G164" s="48" t="str">
        <x:f>IF(F164="","",ROUND(F164*19%,0))</x:f>
      </x:c>
      <x:c r="H164" s="48" t="str">
        <x:f>IF(F164="","",F164+G164)</x:f>
      </x:c>
    </x:row>
    <x:row r="165" ht="22" customHeight="1">
      <x:c r="A165" s="33"/>
      <x:c r="B165" s="33"/>
      <x:c r="C165" s="36"/>
      <x:c r="D165" s="33"/>
      <x:c r="E165" s="36"/>
      <x:c r="F165" s="42"/>
      <x:c r="G165" s="48" t="str">
        <x:f>IF(F165="","",ROUND(F165*19%,0))</x:f>
      </x:c>
      <x:c r="H165" s="48" t="str">
        <x:f>IF(F165="","",F165+G165)</x:f>
      </x:c>
    </x:row>
    <x:row r="166" ht="22" customHeight="1">
      <x:c r="A166" s="33"/>
      <x:c r="B166" s="33"/>
      <x:c r="C166" s="36"/>
      <x:c r="D166" s="33"/>
      <x:c r="E166" s="36"/>
      <x:c r="F166" s="42"/>
      <x:c r="G166" s="48" t="str">
        <x:f>IF(F166="","",ROUND(F166*19%,0))</x:f>
      </x:c>
      <x:c r="H166" s="48" t="str">
        <x:f>IF(F166="","",F166+G166)</x:f>
      </x:c>
    </x:row>
    <x:row r="167" ht="22" customHeight="1">
      <x:c r="A167" s="33"/>
      <x:c r="B167" s="33"/>
      <x:c r="C167" s="36"/>
      <x:c r="D167" s="33"/>
      <x:c r="E167" s="36"/>
      <x:c r="F167" s="42"/>
      <x:c r="G167" s="48" t="str">
        <x:f>IF(F167="","",ROUND(F167*19%,0))</x:f>
      </x:c>
      <x:c r="H167" s="48" t="str">
        <x:f>IF(F167="","",F167+G167)</x:f>
      </x:c>
    </x:row>
    <x:row r="168" ht="22" customHeight="1">
      <x:c r="A168" s="33"/>
      <x:c r="B168" s="33"/>
      <x:c r="C168" s="36"/>
      <x:c r="D168" s="33"/>
      <x:c r="E168" s="36"/>
      <x:c r="F168" s="42"/>
      <x:c r="G168" s="48" t="str">
        <x:f>IF(F168="","",ROUND(F168*19%,0))</x:f>
      </x:c>
      <x:c r="H168" s="48" t="str">
        <x:f>IF(F168="","",F168+G168)</x:f>
      </x:c>
    </x:row>
    <x:row r="169" ht="22" customHeight="1">
      <x:c r="A169" s="33"/>
      <x:c r="B169" s="33"/>
      <x:c r="C169" s="36"/>
      <x:c r="D169" s="33"/>
      <x:c r="E169" s="36"/>
      <x:c r="F169" s="42"/>
      <x:c r="G169" s="48" t="str">
        <x:f>IF(F169="","",ROUND(F169*19%,0))</x:f>
      </x:c>
      <x:c r="H169" s="48" t="str">
        <x:f>IF(F169="","",F169+G169)</x:f>
      </x:c>
    </x:row>
    <x:row r="170" ht="22" customHeight="1">
      <x:c r="A170" s="33"/>
      <x:c r="B170" s="33"/>
      <x:c r="C170" s="36"/>
      <x:c r="D170" s="33"/>
      <x:c r="E170" s="36"/>
      <x:c r="F170" s="42"/>
      <x:c r="G170" s="48" t="str">
        <x:f>IF(F170="","",ROUND(F170*19%,0))</x:f>
      </x:c>
      <x:c r="H170" s="48" t="str">
        <x:f>IF(F170="","",F170+G170)</x:f>
      </x:c>
    </x:row>
    <x:row r="171" ht="22" customHeight="1">
      <x:c r="A171" s="33"/>
      <x:c r="B171" s="33"/>
      <x:c r="C171" s="36"/>
      <x:c r="D171" s="33"/>
      <x:c r="E171" s="36"/>
      <x:c r="F171" s="42"/>
      <x:c r="G171" s="48" t="str">
        <x:f>IF(F171="","",ROUND(F171*19%,0))</x:f>
      </x:c>
      <x:c r="H171" s="48" t="str">
        <x:f>IF(F171="","",F171+G171)</x:f>
      </x:c>
    </x:row>
    <x:row r="172" ht="22" customHeight="1">
      <x:c r="A172" s="33"/>
      <x:c r="B172" s="33"/>
      <x:c r="C172" s="36"/>
      <x:c r="D172" s="33"/>
      <x:c r="E172" s="36"/>
      <x:c r="F172" s="42"/>
      <x:c r="G172" s="48" t="str">
        <x:f>IF(F172="","",ROUND(F172*19%,0))</x:f>
      </x:c>
      <x:c r="H172" s="48" t="str">
        <x:f>IF(F172="","",F172+G172)</x:f>
      </x:c>
    </x:row>
    <x:row r="173" ht="22" customHeight="1">
      <x:c r="A173" s="33"/>
      <x:c r="B173" s="33"/>
      <x:c r="C173" s="36"/>
      <x:c r="D173" s="33"/>
      <x:c r="E173" s="36"/>
      <x:c r="F173" s="42"/>
      <x:c r="G173" s="48" t="str">
        <x:f>IF(F173="","",ROUND(F173*19%,0))</x:f>
      </x:c>
      <x:c r="H173" s="48" t="str">
        <x:f>IF(F173="","",F173+G173)</x:f>
      </x:c>
    </x:row>
    <x:row r="174" ht="22" customHeight="1">
      <x:c r="A174" s="33"/>
      <x:c r="B174" s="33"/>
      <x:c r="C174" s="36"/>
      <x:c r="D174" s="33"/>
      <x:c r="E174" s="36"/>
      <x:c r="F174" s="42"/>
      <x:c r="G174" s="48" t="str">
        <x:f>IF(F174="","",ROUND(F174*19%,0))</x:f>
      </x:c>
      <x:c r="H174" s="48" t="str">
        <x:f>IF(F174="","",F174+G174)</x:f>
      </x:c>
    </x:row>
    <x:row r="175" ht="22" customHeight="1">
      <x:c r="A175" s="33"/>
      <x:c r="B175" s="33"/>
      <x:c r="C175" s="36"/>
      <x:c r="D175" s="33"/>
      <x:c r="E175" s="36"/>
      <x:c r="F175" s="42"/>
      <x:c r="G175" s="48" t="str">
        <x:f>IF(F175="","",ROUND(F175*19%,0))</x:f>
      </x:c>
      <x:c r="H175" s="48" t="str">
        <x:f>IF(F175="","",F175+G175)</x:f>
      </x:c>
    </x:row>
    <x:row r="176" ht="22" customHeight="1">
      <x:c r="A176" s="33"/>
      <x:c r="B176" s="33"/>
      <x:c r="C176" s="36"/>
      <x:c r="D176" s="33"/>
      <x:c r="E176" s="36"/>
      <x:c r="F176" s="42"/>
      <x:c r="G176" s="48" t="str">
        <x:f>IF(F176="","",ROUND(F176*19%,0))</x:f>
      </x:c>
      <x:c r="H176" s="48" t="str">
        <x:f>IF(F176="","",F176+G176)</x:f>
      </x:c>
    </x:row>
    <x:row r="177" ht="22" customHeight="1">
      <x:c r="A177" s="33"/>
      <x:c r="B177" s="33"/>
      <x:c r="C177" s="36"/>
      <x:c r="D177" s="33"/>
      <x:c r="E177" s="36"/>
      <x:c r="F177" s="42"/>
      <x:c r="G177" s="48" t="str">
        <x:f>IF(F177="","",ROUND(F177*19%,0))</x:f>
      </x:c>
      <x:c r="H177" s="48" t="str">
        <x:f>IF(F177="","",F177+G177)</x:f>
      </x:c>
    </x:row>
    <x:row r="178" ht="22" customHeight="1">
      <x:c r="A178" s="33"/>
      <x:c r="B178" s="33"/>
      <x:c r="C178" s="36"/>
      <x:c r="D178" s="33"/>
      <x:c r="E178" s="36"/>
      <x:c r="F178" s="42"/>
      <x:c r="G178" s="48" t="str">
        <x:f>IF(F178="","",ROUND(F178*19%,0))</x:f>
      </x:c>
      <x:c r="H178" s="48" t="str">
        <x:f>IF(F178="","",F178+G178)</x:f>
      </x:c>
    </x:row>
    <x:row r="179" ht="22" customHeight="1">
      <x:c r="A179" s="33"/>
      <x:c r="B179" s="33"/>
      <x:c r="C179" s="36"/>
      <x:c r="D179" s="33"/>
      <x:c r="E179" s="36"/>
      <x:c r="F179" s="42"/>
      <x:c r="G179" s="48" t="str">
        <x:f>IF(F179="","",ROUND(F179*19%,0))</x:f>
      </x:c>
      <x:c r="H179" s="48" t="str">
        <x:f>IF(F179="","",F179+G179)</x:f>
      </x:c>
    </x:row>
    <x:row r="180" ht="22" customHeight="1">
      <x:c r="A180" s="33"/>
      <x:c r="B180" s="33"/>
      <x:c r="C180" s="36"/>
      <x:c r="D180" s="33"/>
      <x:c r="E180" s="36"/>
      <x:c r="F180" s="42"/>
      <x:c r="G180" s="48" t="str">
        <x:f>IF(F180="","",ROUND(F180*19%,0))</x:f>
      </x:c>
      <x:c r="H180" s="48" t="str">
        <x:f>IF(F180="","",F180+G180)</x:f>
      </x:c>
    </x:row>
    <x:row r="181" ht="22" customHeight="1">
      <x:c r="A181" s="33"/>
      <x:c r="B181" s="33"/>
      <x:c r="C181" s="36"/>
      <x:c r="D181" s="33"/>
      <x:c r="E181" s="36"/>
      <x:c r="F181" s="42"/>
      <x:c r="G181" s="48" t="str">
        <x:f>IF(F181="","",ROUND(F181*19%,0))</x:f>
      </x:c>
      <x:c r="H181" s="48" t="str">
        <x:f>IF(F181="","",F181+G181)</x:f>
      </x:c>
    </x:row>
    <x:row r="182" ht="22" customHeight="1">
      <x:c r="A182" s="33"/>
      <x:c r="B182" s="33"/>
      <x:c r="C182" s="36"/>
      <x:c r="D182" s="33"/>
      <x:c r="E182" s="36"/>
      <x:c r="F182" s="42"/>
      <x:c r="G182" s="48" t="str">
        <x:f>IF(F182="","",ROUND(F182*19%,0))</x:f>
      </x:c>
      <x:c r="H182" s="48" t="str">
        <x:f>IF(F182="","",F182+G182)</x:f>
      </x:c>
    </x:row>
    <x:row r="183" ht="22" customHeight="1">
      <x:c r="A183" s="33"/>
      <x:c r="B183" s="33"/>
      <x:c r="C183" s="36"/>
      <x:c r="D183" s="33"/>
      <x:c r="E183" s="36"/>
      <x:c r="F183" s="42"/>
      <x:c r="G183" s="48" t="str">
        <x:f>IF(F183="","",ROUND(F183*19%,0))</x:f>
      </x:c>
      <x:c r="H183" s="48" t="str">
        <x:f>IF(F183="","",F183+G183)</x:f>
      </x:c>
    </x:row>
    <x:row r="184" ht="22" customHeight="1">
      <x:c r="A184" s="33"/>
      <x:c r="B184" s="33"/>
      <x:c r="C184" s="36"/>
      <x:c r="D184" s="33"/>
      <x:c r="E184" s="36"/>
      <x:c r="F184" s="42"/>
      <x:c r="G184" s="48" t="str">
        <x:f>IF(F184="","",ROUND(F184*19%,0))</x:f>
      </x:c>
      <x:c r="H184" s="48" t="str">
        <x:f>IF(F184="","",F184+G184)</x:f>
      </x:c>
    </x:row>
    <x:row r="185" ht="22" customHeight="1">
      <x:c r="A185" s="33"/>
      <x:c r="B185" s="33"/>
      <x:c r="C185" s="36"/>
      <x:c r="D185" s="33"/>
      <x:c r="E185" s="36"/>
      <x:c r="F185" s="42"/>
      <x:c r="G185" s="48" t="str">
        <x:f>IF(F185="","",ROUND(F185*19%,0))</x:f>
      </x:c>
      <x:c r="H185" s="48" t="str">
        <x:f>IF(F185="","",F185+G185)</x:f>
      </x:c>
    </x:row>
    <x:row r="186" ht="22" customHeight="1">
      <x:c r="A186" s="33"/>
      <x:c r="B186" s="33"/>
      <x:c r="C186" s="36"/>
      <x:c r="D186" s="33"/>
      <x:c r="E186" s="36"/>
      <x:c r="F186" s="42"/>
      <x:c r="G186" s="48" t="str">
        <x:f>IF(F186="","",ROUND(F186*19%,0))</x:f>
      </x:c>
      <x:c r="H186" s="48" t="str">
        <x:f>IF(F186="","",F186+G186)</x:f>
      </x:c>
    </x:row>
    <x:row r="187" ht="22" customHeight="1">
      <x:c r="A187" s="33"/>
      <x:c r="B187" s="33"/>
      <x:c r="C187" s="36"/>
      <x:c r="D187" s="33"/>
      <x:c r="E187" s="36"/>
      <x:c r="F187" s="42"/>
      <x:c r="G187" s="48" t="str">
        <x:f>IF(F187="","",ROUND(F187*19%,0))</x:f>
      </x:c>
      <x:c r="H187" s="48" t="str">
        <x:f>IF(F187="","",F187+G187)</x:f>
      </x:c>
    </x:row>
    <x:row r="188" ht="22" customHeight="1">
      <x:c r="A188" s="33"/>
      <x:c r="B188" s="33"/>
      <x:c r="C188" s="36"/>
      <x:c r="D188" s="33"/>
      <x:c r="E188" s="36"/>
      <x:c r="F188" s="42"/>
      <x:c r="G188" s="48" t="str">
        <x:f>IF(F188="","",ROUND(F188*19%,0))</x:f>
      </x:c>
      <x:c r="H188" s="48" t="str">
        <x:f>IF(F188="","",F188+G188)</x:f>
      </x:c>
    </x:row>
    <x:row r="189" ht="22" customHeight="1">
      <x:c r="A189" s="33"/>
      <x:c r="B189" s="33"/>
      <x:c r="C189" s="36"/>
      <x:c r="D189" s="33"/>
      <x:c r="E189" s="36"/>
      <x:c r="F189" s="42"/>
      <x:c r="G189" s="48" t="str">
        <x:f>IF(F189="","",ROUND(F189*19%,0))</x:f>
      </x:c>
      <x:c r="H189" s="48" t="str">
        <x:f>IF(F189="","",F189+G189)</x:f>
      </x:c>
    </x:row>
    <x:row r="190" ht="22" customHeight="1">
      <x:c r="A190" s="33"/>
      <x:c r="B190" s="33"/>
      <x:c r="C190" s="36"/>
      <x:c r="D190" s="33"/>
      <x:c r="E190" s="36"/>
      <x:c r="F190" s="42"/>
      <x:c r="G190" s="48" t="str">
        <x:f>IF(F190="","",ROUND(F190*19%,0))</x:f>
      </x:c>
      <x:c r="H190" s="48" t="str">
        <x:f>IF(F190="","",F190+G190)</x:f>
      </x:c>
    </x:row>
    <x:row r="191" ht="22" customHeight="1">
      <x:c r="A191" s="33"/>
      <x:c r="B191" s="33"/>
      <x:c r="C191" s="36"/>
      <x:c r="D191" s="33"/>
      <x:c r="E191" s="36"/>
      <x:c r="F191" s="42"/>
      <x:c r="G191" s="48" t="str">
        <x:f>IF(F191="","",ROUND(F191*19%,0))</x:f>
      </x:c>
      <x:c r="H191" s="48" t="str">
        <x:f>IF(F191="","",F191+G191)</x:f>
      </x:c>
    </x:row>
    <x:row r="192" ht="22" customHeight="1">
      <x:c r="A192" s="33"/>
      <x:c r="B192" s="33"/>
      <x:c r="C192" s="36"/>
      <x:c r="D192" s="33"/>
      <x:c r="E192" s="36"/>
      <x:c r="F192" s="42"/>
      <x:c r="G192" s="48" t="str">
        <x:f>IF(F192="","",ROUND(F192*19%,0))</x:f>
      </x:c>
      <x:c r="H192" s="48" t="str">
        <x:f>IF(F192="","",F192+G192)</x:f>
      </x:c>
    </x:row>
    <x:row r="193" ht="22" customHeight="1">
      <x:c r="A193" s="33"/>
      <x:c r="B193" s="33"/>
      <x:c r="C193" s="36"/>
      <x:c r="D193" s="33"/>
      <x:c r="E193" s="36"/>
      <x:c r="F193" s="42"/>
      <x:c r="G193" s="48" t="str">
        <x:f>IF(F193="","",ROUND(F193*19%,0))</x:f>
      </x:c>
      <x:c r="H193" s="48" t="str">
        <x:f>IF(F193="","",F193+G193)</x:f>
      </x:c>
    </x:row>
    <x:row r="194" ht="22" customHeight="1">
      <x:c r="A194" s="33"/>
      <x:c r="B194" s="33"/>
      <x:c r="C194" s="36"/>
      <x:c r="D194" s="33"/>
      <x:c r="E194" s="36"/>
      <x:c r="F194" s="42"/>
      <x:c r="G194" s="48" t="str">
        <x:f>IF(F194="","",ROUND(F194*19%,0))</x:f>
      </x:c>
      <x:c r="H194" s="48" t="str">
        <x:f>IF(F194="","",F194+G194)</x:f>
      </x:c>
    </x:row>
    <x:row r="195" ht="22" customHeight="1">
      <x:c r="A195" s="33"/>
      <x:c r="B195" s="33"/>
      <x:c r="C195" s="36"/>
      <x:c r="D195" s="33"/>
      <x:c r="E195" s="36"/>
      <x:c r="F195" s="42"/>
      <x:c r="G195" s="48" t="str">
        <x:f>IF(F195="","",ROUND(F195*19%,0))</x:f>
      </x:c>
      <x:c r="H195" s="48" t="str">
        <x:f>IF(F195="","",F195+G195)</x:f>
      </x:c>
    </x:row>
    <x:row r="196" ht="22" customHeight="1">
      <x:c r="A196" s="33"/>
      <x:c r="B196" s="33"/>
      <x:c r="C196" s="36"/>
      <x:c r="D196" s="33"/>
      <x:c r="E196" s="36"/>
      <x:c r="F196" s="42"/>
      <x:c r="G196" s="48" t="str">
        <x:f>IF(F196="","",ROUND(F196*19%,0))</x:f>
      </x:c>
      <x:c r="H196" s="48" t="str">
        <x:f>IF(F196="","",F196+G196)</x:f>
      </x:c>
    </x:row>
    <x:row r="197" ht="22" customHeight="1">
      <x:c r="A197" s="33"/>
      <x:c r="B197" s="33"/>
      <x:c r="C197" s="36"/>
      <x:c r="D197" s="33"/>
      <x:c r="E197" s="36"/>
      <x:c r="F197" s="42"/>
      <x:c r="G197" s="48" t="str">
        <x:f>IF(F197="","",ROUND(F197*19%,0))</x:f>
      </x:c>
      <x:c r="H197" s="48" t="str">
        <x:f>IF(F197="","",F197+G197)</x:f>
      </x:c>
    </x:row>
    <x:row r="198" ht="22" customHeight="1">
      <x:c r="A198" s="33"/>
      <x:c r="B198" s="33"/>
      <x:c r="C198" s="36"/>
      <x:c r="D198" s="33"/>
      <x:c r="E198" s="36"/>
      <x:c r="F198" s="42"/>
      <x:c r="G198" s="48" t="str">
        <x:f>IF(F198="","",ROUND(F198*19%,0))</x:f>
      </x:c>
      <x:c r="H198" s="48" t="str">
        <x:f>IF(F198="","",F198+G198)</x:f>
      </x:c>
    </x:row>
    <x:row r="199" ht="22" customHeight="1">
      <x:c r="A199" s="33"/>
      <x:c r="B199" s="33"/>
      <x:c r="C199" s="36"/>
      <x:c r="D199" s="33"/>
      <x:c r="E199" s="36"/>
      <x:c r="F199" s="42"/>
      <x:c r="G199" s="48" t="str">
        <x:f>IF(F199="","",ROUND(F199*19%,0))</x:f>
      </x:c>
      <x:c r="H199" s="48" t="str">
        <x:f>IF(F199="","",F199+G199)</x:f>
      </x:c>
    </x:row>
    <x:row r="200" ht="22" customHeight="1">
      <x:c r="A200" s="33"/>
      <x:c r="B200" s="33"/>
      <x:c r="C200" s="36"/>
      <x:c r="D200" s="33"/>
      <x:c r="E200" s="36"/>
      <x:c r="F200" s="42"/>
      <x:c r="G200" s="48" t="str">
        <x:f>IF(F200="","",ROUND(F200*19%,0))</x:f>
      </x:c>
      <x:c r="H200" s="48" t="str">
        <x:f>IF(F200="","",F200+G200)</x:f>
      </x:c>
    </x:row>
    <x:row r="201" ht="22" customHeight="1">
      <x:c r="A201" s="33"/>
      <x:c r="B201" s="33"/>
      <x:c r="C201" s="36"/>
      <x:c r="D201" s="33"/>
      <x:c r="E201" s="36"/>
      <x:c r="F201" s="42"/>
      <x:c r="G201" s="48" t="str">
        <x:f>IF(F201="","",ROUND(F201*19%,0))</x:f>
      </x:c>
      <x:c r="H201" s="48" t="str">
        <x:f>IF(F201="","",F201+G201)</x:f>
      </x:c>
    </x:row>
    <x:row r="202" ht="22" customHeight="1">
      <x:c r="A202" s="33"/>
      <x:c r="B202" s="33"/>
      <x:c r="C202" s="36"/>
      <x:c r="D202" s="33"/>
      <x:c r="E202" s="36"/>
      <x:c r="F202" s="42"/>
      <x:c r="G202" s="48" t="str">
        <x:f>IF(F202="","",ROUND(F202*19%,0))</x:f>
      </x:c>
      <x:c r="H202" s="48" t="str">
        <x:f>IF(F202="","",F202+G202)</x:f>
      </x:c>
    </x:row>
    <x:row r="203" ht="22" customHeight="1">
      <x:c r="A203" s="33"/>
      <x:c r="B203" s="33"/>
      <x:c r="C203" s="36"/>
      <x:c r="D203" s="33"/>
      <x:c r="E203" s="36"/>
      <x:c r="F203" s="42"/>
      <x:c r="G203" s="48" t="str">
        <x:f>IF(F203="","",ROUND(F203*19%,0))</x:f>
      </x:c>
      <x:c r="H203" s="48" t="str">
        <x:f>IF(F203="","",F203+G203)</x:f>
      </x:c>
    </x:row>
    <x:row r="204" ht="22" customHeight="1">
      <x:c r="A204" s="34"/>
      <x:c r="B204" s="34"/>
      <x:c r="C204" s="37"/>
      <x:c r="D204" s="34"/>
      <x:c r="E204" s="37"/>
      <x:c r="F204" s="43"/>
      <x:c r="G204" s="49" t="str">
        <x:f>IF(F204="","",ROUND(F204*19%,0))</x:f>
      </x:c>
      <x:c r="H204" s="49" t="str">
        <x:f>IF(F204="","",F204+G204)</x:f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7" hidden="0" customWidth="1"/>
    <x:col min="4" max="4" width="20" hidden="0" customWidth="1"/>
    <x:col min="5" max="5" width="20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51" t="str">
        <x:v>Ejemplo · cotización repetida</x:v>
      </x:c>
      <x:c r="B1" s="51"/>
      <x:c r="C1" s="51"/>
      <x:c r="D1" s="51"/>
      <x:c r="E1" s="51"/>
      <x:c r="F1" s="51"/>
      <x:c r="G1" s="51"/>
      <x:c r="H1" s="51"/>
    </x:row>
    <x:row r="2" ht="30" customHeight="1">
      <x:c r="A2" s="53" t="str">
        <x:v>Las tres facturas comparten la cotización 4291. La suma neta ($260.000) debe ser igual a la suma de sus servicios en el TMS.</x:v>
      </x:c>
      <x:c r="B2" s="53"/>
      <x:c r="C2" s="53"/>
      <x:c r="D2" s="53"/>
      <x:c r="E2" s="53"/>
      <x:c r="F2" s="53"/>
      <x:c r="G2" s="53"/>
      <x:c r="H2" s="53"/>
    </x:row>
    <x:row r="4">
      <x:c r="A4" s="55" t="str">
        <x:v>N° Factura</x:v>
      </x:c>
      <x:c r="B4" s="55" t="str">
        <x:v>N° Cotización</x:v>
      </x:c>
      <x:c r="C4" s="55" t="str">
        <x:v>Fecha emisión</x:v>
      </x:c>
      <x:c r="D4" s="55" t="str">
        <x:v>N° OC</x:v>
      </x:c>
      <x:c r="E4" s="55" t="str">
        <x:v>Fecha vencimiento</x:v>
      </x:c>
      <x:c r="F4" s="55" t="str">
        <x:v>Neto</x:v>
      </x:c>
      <x:c r="G4" s="55" t="str">
        <x:v>IVA</x:v>
      </x:c>
      <x:c r="H4" s="55" t="str">
        <x:v>Total</x:v>
      </x:c>
    </x:row>
    <x:row r="5">
      <x:c r="A5" s="58" t="str">
        <x:v>4326</x:v>
      </x:c>
      <x:c r="B5" s="58" t="str">
        <x:v>4291</x:v>
      </x:c>
      <x:c r="C5" s="59" t="n">
        <x:v>46259</x:v>
      </x:c>
      <x:c r="D5" s="58" t="str">
        <x:v>4701761802</x:v>
      </x:c>
      <x:c r="E5" s="59" t="n">
        <x:v>46289</x:v>
      </x:c>
      <x:c r="F5" s="60" t="n">
        <x:v>60000</x:v>
      </x:c>
      <x:c r="G5" s="60" t="n">
        <x:f>ROUND(F5*19%,0)</x:f>
        <x:v>11400</x:v>
      </x:c>
      <x:c r="H5" s="60" t="n">
        <x:f>F5+G5</x:f>
        <x:v>71400</x:v>
      </x:c>
    </x:row>
    <x:row r="6">
      <x:c r="A6" s="58" t="str">
        <x:v>4327</x:v>
      </x:c>
      <x:c r="B6" s="58" t="str">
        <x:v>4291</x:v>
      </x:c>
      <x:c r="C6" s="59" t="n">
        <x:v>46259</x:v>
      </x:c>
      <x:c r="D6" s="58" t="str">
        <x:v>4701761814</x:v>
      </x:c>
      <x:c r="E6" s="59" t="n">
        <x:v>46289</x:v>
      </x:c>
      <x:c r="F6" s="60" t="n">
        <x:v>40000</x:v>
      </x:c>
      <x:c r="G6" s="60" t="n">
        <x:f>ROUND(F6*19%,0)</x:f>
        <x:v>7600</x:v>
      </x:c>
      <x:c r="H6" s="60" t="n">
        <x:f>F6+G6</x:f>
        <x:v>47600</x:v>
      </x:c>
    </x:row>
    <x:row r="7">
      <x:c r="A7" s="58" t="str">
        <x:v>4328</x:v>
      </x:c>
      <x:c r="B7" s="58" t="str">
        <x:v>4291</x:v>
      </x:c>
      <x:c r="C7" s="59" t="n">
        <x:v>46259</x:v>
      </x:c>
      <x:c r="D7" s="58" t="str">
        <x:v>4701761800</x:v>
      </x:c>
      <x:c r="E7" s="59" t="n">
        <x:v>46289</x:v>
      </x:c>
      <x:c r="F7" s="60" t="n">
        <x:v>160000</x:v>
      </x:c>
      <x:c r="G7" s="60" t="n">
        <x:f>ROUND(F7*19%,0)</x:f>
        <x:v>30400</x:v>
      </x:c>
      <x:c r="H7" s="60" t="n">
        <x:f>F7+G7</x:f>
        <x:v>190400</x:v>
      </x:c>
    </x:row>
    <x:row r="9">
      <x:c r="A9" s="62" t="str">
        <x:v>Control de suma neta de la cotización</x:v>
      </x:c>
      <x:c r="B9" s="62"/>
      <x:c r="C9" s="62"/>
      <x:c r="D9" s="62"/>
      <x:c r="E9" s="62"/>
      <x:c r="F9" s="66" t="n">
        <x:f>SUM(F5:F7)</x:f>
        <x:v>260000</x:v>
      </x:c>
      <x:c r="G9" s="67" t="str">
        <x:v>Debe cuadrar con servicios TMS</x:v>
      </x:c>
      <x:c r="H9" s="67"/>
    </x:row>
  </x:sheetData>
  <x:mergeCells>
    <x:mergeCell ref="A1:H1"/>
    <x:mergeCell ref="A2:H2"/>
    <x:mergeCell ref="A9:E9"/>
    <x:mergeCell ref="G9:H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</x:cols>
  <x:sheetData>
    <x:row r="1" ht="34" customHeight="1">
      <x:c r="A1" s="3" t="str">
        <x:v>Cómo usar la plantilla</x:v>
      </x:c>
      <x:c r="B1" s="3"/>
      <x:c r="C1" s="3"/>
      <x:c r="D1" s="3"/>
      <x:c r="E1" s="3"/>
      <x:c r="F1" s="3"/>
    </x:row>
    <x:row r="3">
      <x:c r="A3" s="8" t="str">
        <x:v>Paso</x:v>
      </x:c>
      <x:c r="B3" s="8" t="str">
        <x:v>Acción</x:v>
      </x:c>
      <x:c r="C3" s="8" t="str"/>
      <x:c r="D3" s="8" t="str"/>
      <x:c r="E3" s="8" t="str"/>
      <x:c r="F3" s="8" t="str">
        <x:v>Resultado</x:v>
      </x:c>
    </x:row>
    <x:row r="4" ht="42" customHeight="1">
      <x:c r="A4" s="83" t="str">
        <x:v>01</x:v>
      </x:c>
      <x:c r="B4" s="74" t="str">
        <x:v>Abra la hoja Facturación y complete una fila por factura.</x:v>
      </x:c>
      <x:c r="C4" s="74" t="str"/>
      <x:c r="D4" s="74" t="str"/>
      <x:c r="E4" s="74" t="str"/>
      <x:c r="F4" s="89" t="str">
        <x:v>Datos preparados</x:v>
      </x:c>
    </x:row>
    <x:row r="5" ht="42" customHeight="1">
      <x:c r="A5" s="84" t="str">
        <x:v>02</x:v>
      </x:c>
      <x:c r="B5" s="75" t="str">
        <x:v>Mantenga los encabezados y use fechas válidas. El vencimiento puede quedar vacío; el TMS aplicará 30 días.</x:v>
      </x:c>
      <x:c r="C5" s="75" t="str"/>
      <x:c r="D5" s="75" t="str"/>
      <x:c r="E5" s="75" t="str"/>
      <x:c r="F5" s="90" t="str">
        <x:v>Archivo válido</x:v>
      </x:c>
    </x:row>
    <x:row r="6" ht="42" customHeight="1">
      <x:c r="A6" s="84" t="str">
        <x:v>03</x:v>
      </x:c>
      <x:c r="B6" s="75" t="str">
        <x:v>Ingrese el neto. Revise el IVA y Total calculados antes de guardar.</x:v>
      </x:c>
      <x:c r="C6" s="75" t="str"/>
      <x:c r="D6" s="75" t="str"/>
      <x:c r="E6" s="75" t="str"/>
      <x:c r="F6" s="90" t="str">
        <x:v>Montos consistentes</x:v>
      </x:c>
    </x:row>
    <x:row r="7" ht="42" customHeight="1">
      <x:c r="A7" s="84" t="str">
        <x:v>04</x:v>
      </x:c>
      <x:c r="B7" s="75" t="str">
        <x:v>En Pipeline de Servicios → O.C., seleccione Importar lote y cargue este archivo.</x:v>
      </x:c>
      <x:c r="C7" s="75" t="str"/>
      <x:c r="D7" s="75" t="str"/>
      <x:c r="E7" s="75" t="str"/>
      <x:c r="F7" s="90" t="str">
        <x:v>Previsualización</x:v>
      </x:c>
    </x:row>
    <x:row r="8" ht="42" customHeight="1">
      <x:c r="A8" s="85" t="str">
        <x:v>05</x:v>
      </x:c>
      <x:c r="B8" s="76" t="str">
        <x:v>Cuando todo esté cuadrado, ejecute: Aplicar OCs → Crear cierres → Crear facturas.</x:v>
      </x:c>
      <x:c r="C8" s="76" t="str"/>
      <x:c r="D8" s="76" t="str"/>
      <x:c r="E8" s="76" t="str"/>
      <x:c r="F8" s="91" t="str">
        <x:v>Proceso finalizado</x:v>
      </x:c>
    </x:row>
    <x:row r="10">
      <x:c r="A10" s="62" t="str">
        <x:v>Reglas de validación</x:v>
      </x:c>
      <x:c r="B10" s="62"/>
      <x:c r="C10" s="62"/>
      <x:c r="D10" s="62"/>
      <x:c r="E10" s="62"/>
      <x:c r="F10" s="62"/>
    </x:row>
    <x:row r="11" ht="30" customHeight="1">
      <x:c r="A11" s="100" t="str">
        <x:v>• Factura, cotización, OC, fecha de emisión, neto, IVA y total son obligatorios.</x:v>
      </x:c>
      <x:c r="B11" s="100"/>
      <x:c r="C11" s="100"/>
      <x:c r="D11" s="100"/>
      <x:c r="E11" s="100"/>
      <x:c r="F11" s="100"/>
    </x:row>
    <x:row r="12" ht="30" customHeight="1">
      <x:c r="A12" s="101" t="str">
        <x:v>• No puede repetirse un número de factura dentro del archivo ni existir previamente en el TMS.</x:v>
      </x:c>
      <x:c r="B12" s="101"/>
      <x:c r="C12" s="101"/>
      <x:c r="D12" s="101"/>
      <x:c r="E12" s="101"/>
      <x:c r="F12" s="101"/>
    </x:row>
    <x:row r="13" ht="30" customHeight="1">
      <x:c r="A13" s="101" t="str">
        <x:v>• Neto + IVA debe ser igual al Total.</x:v>
      </x:c>
      <x:c r="B13" s="101"/>
      <x:c r="C13" s="101"/>
      <x:c r="D13" s="101"/>
      <x:c r="E13" s="101"/>
      <x:c r="F13" s="101"/>
    </x:row>
    <x:row r="14" ht="30" customHeight="1">
      <x:c r="A14" s="101" t="str">
        <x:v>• Para cotizaciones repetidas, la suma neta de las facturas debe ser igual a la suma de servicios.</x:v>
      </x:c>
      <x:c r="B14" s="101"/>
      <x:c r="C14" s="101"/>
      <x:c r="D14" s="101"/>
      <x:c r="E14" s="101"/>
      <x:c r="F14" s="101"/>
    </x:row>
    <x:row r="15" ht="30" customHeight="1">
      <x:c r="A15" s="102" t="str">
        <x:v>• Un servicio no puede asignarse a más de una factura ni estar previamente cerrado o facturado.</x:v>
      </x:c>
      <x:c r="B15" s="102"/>
      <x:c r="C15" s="102"/>
      <x:c r="D15" s="102"/>
      <x:c r="E15" s="102"/>
      <x:c r="F15" s="102"/>
    </x:row>
  </x:sheetData>
  <x:mergeCells>
    <x:mergeCell ref="A1:F1"/>
    <x:mergeCell ref="B4:E4"/>
    <x:mergeCell ref="B5:E5"/>
    <x:mergeCell ref="B6:E6"/>
    <x:mergeCell ref="B7:E7"/>
    <x:mergeCell ref="B8:E8"/>
    <x:mergeCell ref="A10:F10"/>
    <x:mergeCell ref="A11:F11"/>
    <x:mergeCell ref="A12:F12"/>
    <x:mergeCell ref="A13:F13"/>
    <x:mergeCell ref="A14:F14"/>
    <x:mergeCell ref="A15:F15"/>
  </x:mergeCells>
  <x:pageMargins left="0.7" right="0.7" top="0.75" bottom="0.75" header="0.3" footer="0.3"/>
</x:worksheet>
</file>